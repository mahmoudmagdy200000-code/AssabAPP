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Y3" sheetId="1" r:id="rId1"/>
  </sheets>
  <definedNames>
    <definedName name="_xlnm._FilterDatabase" localSheetId="0" hidden="1">'Y3'!$A$8:$AA$405</definedName>
    <definedName name="_xlnm.Print_Titles" localSheetId="0">'Y3'!$1:$8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5" i="1" l="1"/>
  <c r="N405" i="1"/>
  <c r="L405" i="1"/>
  <c r="J405" i="1"/>
  <c r="H405" i="1"/>
  <c r="F405" i="1"/>
  <c r="O404" i="1"/>
  <c r="N404" i="1"/>
  <c r="L404" i="1"/>
  <c r="J404" i="1"/>
  <c r="H404" i="1"/>
  <c r="F404" i="1"/>
  <c r="O403" i="1"/>
  <c r="N403" i="1"/>
  <c r="L403" i="1"/>
  <c r="J403" i="1"/>
  <c r="H403" i="1"/>
  <c r="F403" i="1"/>
  <c r="O402" i="1"/>
  <c r="N402" i="1"/>
  <c r="L402" i="1"/>
  <c r="J402" i="1"/>
  <c r="H402" i="1"/>
  <c r="F402" i="1"/>
  <c r="O401" i="1"/>
  <c r="N401" i="1"/>
  <c r="L401" i="1"/>
  <c r="J401" i="1"/>
  <c r="H401" i="1"/>
  <c r="F401" i="1"/>
  <c r="O400" i="1"/>
  <c r="N400" i="1"/>
  <c r="L400" i="1"/>
  <c r="J400" i="1"/>
  <c r="H400" i="1"/>
  <c r="F400" i="1"/>
  <c r="O399" i="1"/>
  <c r="N399" i="1"/>
  <c r="L399" i="1"/>
  <c r="J399" i="1"/>
  <c r="H399" i="1"/>
  <c r="F399" i="1"/>
  <c r="O398" i="1"/>
  <c r="N398" i="1"/>
  <c r="L398" i="1"/>
  <c r="J398" i="1"/>
  <c r="H398" i="1"/>
  <c r="F398" i="1"/>
  <c r="O397" i="1"/>
  <c r="N397" i="1"/>
  <c r="L397" i="1"/>
  <c r="J397" i="1"/>
  <c r="H397" i="1"/>
  <c r="F397" i="1"/>
  <c r="O396" i="1"/>
  <c r="N396" i="1"/>
  <c r="L396" i="1"/>
  <c r="J396" i="1"/>
  <c r="H396" i="1"/>
  <c r="F396" i="1"/>
  <c r="O395" i="1"/>
  <c r="N395" i="1"/>
  <c r="L395" i="1"/>
  <c r="J395" i="1"/>
  <c r="H395" i="1"/>
  <c r="F395" i="1"/>
  <c r="O394" i="1"/>
  <c r="N394" i="1"/>
  <c r="L394" i="1"/>
  <c r="J394" i="1"/>
  <c r="H394" i="1"/>
  <c r="F394" i="1"/>
  <c r="O393" i="1"/>
  <c r="N393" i="1"/>
  <c r="L393" i="1"/>
  <c r="J393" i="1"/>
  <c r="H393" i="1"/>
  <c r="F393" i="1"/>
  <c r="O392" i="1"/>
  <c r="N392" i="1"/>
  <c r="L392" i="1"/>
  <c r="J392" i="1"/>
  <c r="H392" i="1"/>
  <c r="F392" i="1"/>
  <c r="O391" i="1"/>
  <c r="N391" i="1"/>
  <c r="L391" i="1"/>
  <c r="J391" i="1"/>
  <c r="H391" i="1"/>
  <c r="F391" i="1"/>
  <c r="O390" i="1"/>
  <c r="N390" i="1"/>
  <c r="L390" i="1"/>
  <c r="J390" i="1"/>
  <c r="H390" i="1"/>
  <c r="F390" i="1"/>
  <c r="O389" i="1"/>
  <c r="N389" i="1"/>
  <c r="L389" i="1"/>
  <c r="J389" i="1"/>
  <c r="H389" i="1"/>
  <c r="F389" i="1"/>
  <c r="O388" i="1"/>
  <c r="N388" i="1"/>
  <c r="L388" i="1"/>
  <c r="J388" i="1"/>
  <c r="H388" i="1"/>
  <c r="F388" i="1"/>
  <c r="O387" i="1"/>
  <c r="N387" i="1"/>
  <c r="L387" i="1"/>
  <c r="J387" i="1"/>
  <c r="H387" i="1"/>
  <c r="F387" i="1"/>
  <c r="O386" i="1"/>
  <c r="N386" i="1"/>
  <c r="L386" i="1"/>
  <c r="J386" i="1"/>
  <c r="H386" i="1"/>
  <c r="F386" i="1"/>
  <c r="O385" i="1"/>
  <c r="N385" i="1"/>
  <c r="L385" i="1"/>
  <c r="J385" i="1"/>
  <c r="H385" i="1"/>
  <c r="F385" i="1"/>
  <c r="O384" i="1"/>
  <c r="N384" i="1"/>
  <c r="L384" i="1"/>
  <c r="J384" i="1"/>
  <c r="H384" i="1"/>
  <c r="F384" i="1"/>
  <c r="O383" i="1"/>
  <c r="N383" i="1"/>
  <c r="L383" i="1"/>
  <c r="J383" i="1"/>
  <c r="H383" i="1"/>
  <c r="F383" i="1"/>
  <c r="O382" i="1"/>
  <c r="N382" i="1"/>
  <c r="L382" i="1"/>
  <c r="J382" i="1"/>
  <c r="H382" i="1"/>
  <c r="F382" i="1"/>
  <c r="O381" i="1"/>
  <c r="N381" i="1"/>
  <c r="L381" i="1"/>
  <c r="J381" i="1"/>
  <c r="H381" i="1"/>
  <c r="F381" i="1"/>
  <c r="O380" i="1"/>
  <c r="N380" i="1"/>
  <c r="L380" i="1"/>
  <c r="J380" i="1"/>
  <c r="H380" i="1"/>
  <c r="F380" i="1"/>
  <c r="O379" i="1"/>
  <c r="N379" i="1"/>
  <c r="L379" i="1"/>
  <c r="J379" i="1"/>
  <c r="H379" i="1"/>
  <c r="F379" i="1"/>
  <c r="O378" i="1"/>
  <c r="N378" i="1"/>
  <c r="L378" i="1"/>
  <c r="J378" i="1"/>
  <c r="H378" i="1"/>
  <c r="F378" i="1"/>
  <c r="O377" i="1"/>
  <c r="N377" i="1"/>
  <c r="L377" i="1"/>
  <c r="J377" i="1"/>
  <c r="H377" i="1"/>
  <c r="F377" i="1"/>
  <c r="O376" i="1"/>
  <c r="N376" i="1"/>
  <c r="L376" i="1"/>
  <c r="J376" i="1"/>
  <c r="H376" i="1"/>
  <c r="F376" i="1"/>
  <c r="O375" i="1"/>
  <c r="N375" i="1"/>
  <c r="L375" i="1"/>
  <c r="J375" i="1"/>
  <c r="H375" i="1"/>
  <c r="F375" i="1"/>
  <c r="O374" i="1"/>
  <c r="N374" i="1"/>
  <c r="L374" i="1"/>
  <c r="J374" i="1"/>
  <c r="H374" i="1"/>
  <c r="F374" i="1"/>
  <c r="O373" i="1"/>
  <c r="N373" i="1"/>
  <c r="L373" i="1"/>
  <c r="J373" i="1"/>
  <c r="H373" i="1"/>
  <c r="F373" i="1"/>
  <c r="O372" i="1"/>
  <c r="N372" i="1"/>
  <c r="L372" i="1"/>
  <c r="J372" i="1"/>
  <c r="H372" i="1"/>
  <c r="F372" i="1"/>
  <c r="O371" i="1"/>
  <c r="N371" i="1"/>
  <c r="L371" i="1"/>
  <c r="J371" i="1"/>
  <c r="H371" i="1"/>
  <c r="F371" i="1"/>
  <c r="O370" i="1"/>
  <c r="N370" i="1"/>
  <c r="L370" i="1"/>
  <c r="J370" i="1"/>
  <c r="H370" i="1"/>
  <c r="F370" i="1"/>
  <c r="O369" i="1"/>
  <c r="N369" i="1"/>
  <c r="L369" i="1"/>
  <c r="J369" i="1"/>
  <c r="H369" i="1"/>
  <c r="F369" i="1"/>
  <c r="O368" i="1"/>
  <c r="N368" i="1"/>
  <c r="L368" i="1"/>
  <c r="J368" i="1"/>
  <c r="H368" i="1"/>
  <c r="F368" i="1"/>
  <c r="O367" i="1"/>
  <c r="N367" i="1"/>
  <c r="L367" i="1"/>
  <c r="J367" i="1"/>
  <c r="H367" i="1"/>
  <c r="F367" i="1"/>
  <c r="O366" i="1"/>
  <c r="N366" i="1"/>
  <c r="L366" i="1"/>
  <c r="J366" i="1"/>
  <c r="H366" i="1"/>
  <c r="F366" i="1"/>
  <c r="O365" i="1"/>
  <c r="N365" i="1"/>
  <c r="L365" i="1"/>
  <c r="J365" i="1"/>
  <c r="H365" i="1"/>
  <c r="F365" i="1"/>
  <c r="O364" i="1"/>
  <c r="N364" i="1"/>
  <c r="L364" i="1"/>
  <c r="J364" i="1"/>
  <c r="H364" i="1"/>
  <c r="F364" i="1"/>
  <c r="O363" i="1"/>
  <c r="N363" i="1"/>
  <c r="L363" i="1"/>
  <c r="J363" i="1"/>
  <c r="H363" i="1"/>
  <c r="F363" i="1"/>
  <c r="O362" i="1"/>
  <c r="N362" i="1"/>
  <c r="L362" i="1"/>
  <c r="J362" i="1"/>
  <c r="H362" i="1"/>
  <c r="F362" i="1"/>
  <c r="O361" i="1"/>
  <c r="N361" i="1"/>
  <c r="L361" i="1"/>
  <c r="J361" i="1"/>
  <c r="H361" i="1"/>
  <c r="F361" i="1"/>
  <c r="O358" i="1"/>
  <c r="N358" i="1"/>
  <c r="L358" i="1"/>
  <c r="J358" i="1"/>
  <c r="H358" i="1"/>
  <c r="F358" i="1"/>
  <c r="B358" i="1"/>
  <c r="O357" i="1"/>
  <c r="N357" i="1"/>
  <c r="L357" i="1"/>
  <c r="J357" i="1"/>
  <c r="H357" i="1"/>
  <c r="F357" i="1"/>
  <c r="B357" i="1"/>
  <c r="O356" i="1"/>
  <c r="N356" i="1"/>
  <c r="L356" i="1"/>
  <c r="J356" i="1"/>
  <c r="H356" i="1"/>
  <c r="F356" i="1"/>
  <c r="B356" i="1"/>
  <c r="O355" i="1"/>
  <c r="N355" i="1"/>
  <c r="L355" i="1"/>
  <c r="J355" i="1"/>
  <c r="H355" i="1"/>
  <c r="F355" i="1"/>
  <c r="B355" i="1"/>
  <c r="O354" i="1"/>
  <c r="N354" i="1"/>
  <c r="L354" i="1"/>
  <c r="J354" i="1"/>
  <c r="H354" i="1"/>
  <c r="F354" i="1"/>
  <c r="B354" i="1"/>
  <c r="O353" i="1"/>
  <c r="N353" i="1"/>
  <c r="L353" i="1"/>
  <c r="J353" i="1"/>
  <c r="H353" i="1"/>
  <c r="F353" i="1"/>
  <c r="B353" i="1"/>
  <c r="O352" i="1"/>
  <c r="N352" i="1"/>
  <c r="L352" i="1"/>
  <c r="J352" i="1"/>
  <c r="H352" i="1"/>
  <c r="F352" i="1"/>
  <c r="B352" i="1"/>
  <c r="O351" i="1"/>
  <c r="N351" i="1"/>
  <c r="L351" i="1"/>
  <c r="J351" i="1"/>
  <c r="H351" i="1"/>
  <c r="F351" i="1"/>
  <c r="B351" i="1"/>
  <c r="O350" i="1"/>
  <c r="N350" i="1"/>
  <c r="L350" i="1"/>
  <c r="J350" i="1"/>
  <c r="H350" i="1"/>
  <c r="F350" i="1"/>
  <c r="B350" i="1"/>
  <c r="O349" i="1"/>
  <c r="N349" i="1"/>
  <c r="L349" i="1"/>
  <c r="J349" i="1"/>
  <c r="H349" i="1"/>
  <c r="F349" i="1"/>
  <c r="B349" i="1"/>
  <c r="O348" i="1"/>
  <c r="N348" i="1"/>
  <c r="L348" i="1"/>
  <c r="J348" i="1"/>
  <c r="H348" i="1"/>
  <c r="F348" i="1"/>
  <c r="B348" i="1"/>
  <c r="O347" i="1"/>
  <c r="N347" i="1"/>
  <c r="L347" i="1"/>
  <c r="J347" i="1"/>
  <c r="H347" i="1"/>
  <c r="F347" i="1"/>
  <c r="B347" i="1"/>
  <c r="O346" i="1"/>
  <c r="N346" i="1"/>
  <c r="L346" i="1"/>
  <c r="J346" i="1"/>
  <c r="H346" i="1"/>
  <c r="F346" i="1"/>
  <c r="B346" i="1"/>
  <c r="O345" i="1"/>
  <c r="N345" i="1"/>
  <c r="L345" i="1"/>
  <c r="J345" i="1"/>
  <c r="H345" i="1"/>
  <c r="F345" i="1"/>
  <c r="B345" i="1"/>
  <c r="O344" i="1"/>
  <c r="N344" i="1"/>
  <c r="L344" i="1"/>
  <c r="J344" i="1"/>
  <c r="H344" i="1"/>
  <c r="F344" i="1"/>
  <c r="B344" i="1"/>
  <c r="O343" i="1"/>
  <c r="N343" i="1"/>
  <c r="L343" i="1"/>
  <c r="J343" i="1"/>
  <c r="H343" i="1"/>
  <c r="F343" i="1"/>
  <c r="B343" i="1"/>
  <c r="O342" i="1"/>
  <c r="N342" i="1"/>
  <c r="L342" i="1"/>
  <c r="J342" i="1"/>
  <c r="H342" i="1"/>
  <c r="F342" i="1"/>
  <c r="B342" i="1"/>
  <c r="O341" i="1"/>
  <c r="N341" i="1"/>
  <c r="L341" i="1"/>
  <c r="J341" i="1"/>
  <c r="H341" i="1"/>
  <c r="F341" i="1"/>
  <c r="B341" i="1"/>
  <c r="O340" i="1"/>
  <c r="N340" i="1"/>
  <c r="L340" i="1"/>
  <c r="J340" i="1"/>
  <c r="H340" i="1"/>
  <c r="F340" i="1"/>
  <c r="B340" i="1"/>
  <c r="O339" i="1"/>
  <c r="N339" i="1"/>
  <c r="L339" i="1"/>
  <c r="J339" i="1"/>
  <c r="H339" i="1"/>
  <c r="F339" i="1"/>
  <c r="B339" i="1"/>
  <c r="O338" i="1"/>
  <c r="N338" i="1"/>
  <c r="L338" i="1"/>
  <c r="J338" i="1"/>
  <c r="H338" i="1"/>
  <c r="F338" i="1"/>
  <c r="B338" i="1"/>
  <c r="O337" i="1"/>
  <c r="N337" i="1"/>
  <c r="L337" i="1"/>
  <c r="J337" i="1"/>
  <c r="H337" i="1"/>
  <c r="F337" i="1"/>
  <c r="B337" i="1"/>
  <c r="O336" i="1"/>
  <c r="N336" i="1"/>
  <c r="L336" i="1"/>
  <c r="J336" i="1"/>
  <c r="H336" i="1"/>
  <c r="F336" i="1"/>
  <c r="B336" i="1"/>
  <c r="O335" i="1"/>
  <c r="N335" i="1"/>
  <c r="L335" i="1"/>
  <c r="J335" i="1"/>
  <c r="H335" i="1"/>
  <c r="F335" i="1"/>
  <c r="B335" i="1"/>
  <c r="O334" i="1"/>
  <c r="N334" i="1"/>
  <c r="L334" i="1"/>
  <c r="J334" i="1"/>
  <c r="H334" i="1"/>
  <c r="F334" i="1"/>
  <c r="B334" i="1"/>
  <c r="O333" i="1"/>
  <c r="N333" i="1"/>
  <c r="L333" i="1"/>
  <c r="J333" i="1"/>
  <c r="H333" i="1"/>
  <c r="F333" i="1"/>
  <c r="B333" i="1"/>
  <c r="O332" i="1"/>
  <c r="N332" i="1"/>
  <c r="L332" i="1"/>
  <c r="J332" i="1"/>
  <c r="H332" i="1"/>
  <c r="F332" i="1"/>
  <c r="B332" i="1"/>
  <c r="O331" i="1"/>
  <c r="N331" i="1"/>
  <c r="L331" i="1"/>
  <c r="J331" i="1"/>
  <c r="H331" i="1"/>
  <c r="F331" i="1"/>
  <c r="B331" i="1"/>
  <c r="O330" i="1"/>
  <c r="N330" i="1"/>
  <c r="L330" i="1"/>
  <c r="J330" i="1"/>
  <c r="H330" i="1"/>
  <c r="F330" i="1"/>
  <c r="B330" i="1"/>
  <c r="O329" i="1"/>
  <c r="N329" i="1"/>
  <c r="L329" i="1"/>
  <c r="J329" i="1"/>
  <c r="H329" i="1"/>
  <c r="F329" i="1"/>
  <c r="B329" i="1"/>
  <c r="O328" i="1"/>
  <c r="N328" i="1"/>
  <c r="L328" i="1"/>
  <c r="J328" i="1"/>
  <c r="H328" i="1"/>
  <c r="F328" i="1"/>
  <c r="B328" i="1"/>
  <c r="O327" i="1"/>
  <c r="N327" i="1"/>
  <c r="L327" i="1"/>
  <c r="J327" i="1"/>
  <c r="H327" i="1"/>
  <c r="F327" i="1"/>
  <c r="B327" i="1"/>
  <c r="O326" i="1"/>
  <c r="N326" i="1"/>
  <c r="L326" i="1"/>
  <c r="J326" i="1"/>
  <c r="H326" i="1"/>
  <c r="F326" i="1"/>
  <c r="B326" i="1"/>
  <c r="O325" i="1"/>
  <c r="N325" i="1"/>
  <c r="L325" i="1"/>
  <c r="J325" i="1"/>
  <c r="H325" i="1"/>
  <c r="F325" i="1"/>
  <c r="B325" i="1"/>
  <c r="O324" i="1"/>
  <c r="N324" i="1"/>
  <c r="L324" i="1"/>
  <c r="J324" i="1"/>
  <c r="H324" i="1"/>
  <c r="F324" i="1"/>
  <c r="B324" i="1"/>
  <c r="O323" i="1"/>
  <c r="N323" i="1"/>
  <c r="L323" i="1"/>
  <c r="J323" i="1"/>
  <c r="H323" i="1"/>
  <c r="F323" i="1"/>
  <c r="B323" i="1"/>
  <c r="O322" i="1"/>
  <c r="N322" i="1"/>
  <c r="L322" i="1"/>
  <c r="J322" i="1"/>
  <c r="H322" i="1"/>
  <c r="F322" i="1"/>
  <c r="B322" i="1"/>
  <c r="O321" i="1"/>
  <c r="N321" i="1"/>
  <c r="L321" i="1"/>
  <c r="J321" i="1"/>
  <c r="H321" i="1"/>
  <c r="F321" i="1"/>
  <c r="B321" i="1"/>
  <c r="O320" i="1"/>
  <c r="N320" i="1"/>
  <c r="L320" i="1"/>
  <c r="J320" i="1"/>
  <c r="H320" i="1"/>
  <c r="F320" i="1"/>
  <c r="B320" i="1"/>
  <c r="O319" i="1"/>
  <c r="N319" i="1"/>
  <c r="L319" i="1"/>
  <c r="J319" i="1"/>
  <c r="H319" i="1"/>
  <c r="F319" i="1"/>
  <c r="B319" i="1"/>
  <c r="O318" i="1"/>
  <c r="N318" i="1"/>
  <c r="L318" i="1"/>
  <c r="J318" i="1"/>
  <c r="H318" i="1"/>
  <c r="F318" i="1"/>
  <c r="B318" i="1"/>
  <c r="O317" i="1"/>
  <c r="N317" i="1"/>
  <c r="L317" i="1"/>
  <c r="J317" i="1"/>
  <c r="H317" i="1"/>
  <c r="F317" i="1"/>
  <c r="B317" i="1"/>
  <c r="O316" i="1"/>
  <c r="N316" i="1"/>
  <c r="L316" i="1"/>
  <c r="J316" i="1"/>
  <c r="H316" i="1"/>
  <c r="F316" i="1"/>
  <c r="B316" i="1"/>
  <c r="O315" i="1"/>
  <c r="N315" i="1"/>
  <c r="L315" i="1"/>
  <c r="J315" i="1"/>
  <c r="H315" i="1"/>
  <c r="F315" i="1"/>
  <c r="B315" i="1"/>
  <c r="O314" i="1"/>
  <c r="N314" i="1"/>
  <c r="L314" i="1"/>
  <c r="J314" i="1"/>
  <c r="H314" i="1"/>
  <c r="F314" i="1"/>
  <c r="B314" i="1"/>
  <c r="O313" i="1"/>
  <c r="N313" i="1"/>
  <c r="L313" i="1"/>
  <c r="J313" i="1"/>
  <c r="H313" i="1"/>
  <c r="F313" i="1"/>
  <c r="B313" i="1"/>
  <c r="O312" i="1"/>
  <c r="N312" i="1"/>
  <c r="L312" i="1"/>
  <c r="J312" i="1"/>
  <c r="H312" i="1"/>
  <c r="F312" i="1"/>
  <c r="B312" i="1"/>
  <c r="O311" i="1"/>
  <c r="N311" i="1"/>
  <c r="L311" i="1"/>
  <c r="J311" i="1"/>
  <c r="H311" i="1"/>
  <c r="F311" i="1"/>
  <c r="B311" i="1"/>
  <c r="O310" i="1"/>
  <c r="N310" i="1"/>
  <c r="L310" i="1"/>
  <c r="J310" i="1"/>
  <c r="H310" i="1"/>
  <c r="F310" i="1"/>
  <c r="B310" i="1"/>
  <c r="O309" i="1"/>
  <c r="N309" i="1"/>
  <c r="L309" i="1"/>
  <c r="J309" i="1"/>
  <c r="H309" i="1"/>
  <c r="F309" i="1"/>
  <c r="B309" i="1"/>
  <c r="O308" i="1"/>
  <c r="N308" i="1"/>
  <c r="L308" i="1"/>
  <c r="J308" i="1"/>
  <c r="H308" i="1"/>
  <c r="F308" i="1"/>
  <c r="B308" i="1"/>
  <c r="O307" i="1"/>
  <c r="N307" i="1"/>
  <c r="L307" i="1"/>
  <c r="J307" i="1"/>
  <c r="H307" i="1"/>
  <c r="F307" i="1"/>
  <c r="B307" i="1"/>
  <c r="O306" i="1"/>
  <c r="N306" i="1"/>
  <c r="L306" i="1"/>
  <c r="J306" i="1"/>
  <c r="H306" i="1"/>
  <c r="F306" i="1"/>
  <c r="B306" i="1"/>
  <c r="O305" i="1"/>
  <c r="N305" i="1"/>
  <c r="L305" i="1"/>
  <c r="J305" i="1"/>
  <c r="H305" i="1"/>
  <c r="F305" i="1"/>
  <c r="B305" i="1"/>
  <c r="O304" i="1"/>
  <c r="N304" i="1"/>
  <c r="L304" i="1"/>
  <c r="J304" i="1"/>
  <c r="H304" i="1"/>
  <c r="F304" i="1"/>
  <c r="B304" i="1"/>
  <c r="O303" i="1"/>
  <c r="N303" i="1"/>
  <c r="L303" i="1"/>
  <c r="J303" i="1"/>
  <c r="H303" i="1"/>
  <c r="F303" i="1"/>
  <c r="B303" i="1"/>
  <c r="O302" i="1"/>
  <c r="N302" i="1"/>
  <c r="L302" i="1"/>
  <c r="J302" i="1"/>
  <c r="H302" i="1"/>
  <c r="F302" i="1"/>
  <c r="B302" i="1"/>
  <c r="O301" i="1"/>
  <c r="N301" i="1"/>
  <c r="L301" i="1"/>
  <c r="J301" i="1"/>
  <c r="H301" i="1"/>
  <c r="F301" i="1"/>
  <c r="B301" i="1"/>
  <c r="O300" i="1"/>
  <c r="N300" i="1"/>
  <c r="L300" i="1"/>
  <c r="J300" i="1"/>
  <c r="H300" i="1"/>
  <c r="F300" i="1"/>
  <c r="B300" i="1"/>
  <c r="O299" i="1"/>
  <c r="N299" i="1"/>
  <c r="L299" i="1"/>
  <c r="J299" i="1"/>
  <c r="H299" i="1"/>
  <c r="F299" i="1"/>
  <c r="B299" i="1"/>
  <c r="O298" i="1"/>
  <c r="N298" i="1"/>
  <c r="L298" i="1"/>
  <c r="J298" i="1"/>
  <c r="H298" i="1"/>
  <c r="F298" i="1"/>
  <c r="B298" i="1"/>
  <c r="O297" i="1"/>
  <c r="N297" i="1"/>
  <c r="L297" i="1"/>
  <c r="J297" i="1"/>
  <c r="H297" i="1"/>
  <c r="F297" i="1"/>
  <c r="B297" i="1"/>
  <c r="O296" i="1"/>
  <c r="N296" i="1"/>
  <c r="L296" i="1"/>
  <c r="J296" i="1"/>
  <c r="H296" i="1"/>
  <c r="F296" i="1"/>
  <c r="B296" i="1"/>
  <c r="O295" i="1"/>
  <c r="N295" i="1"/>
  <c r="L295" i="1"/>
  <c r="J295" i="1"/>
  <c r="H295" i="1"/>
  <c r="F295" i="1"/>
  <c r="B295" i="1"/>
  <c r="O294" i="1"/>
  <c r="N294" i="1"/>
  <c r="L294" i="1"/>
  <c r="J294" i="1"/>
  <c r="H294" i="1"/>
  <c r="F294" i="1"/>
  <c r="B294" i="1"/>
  <c r="O293" i="1"/>
  <c r="N293" i="1"/>
  <c r="L293" i="1"/>
  <c r="J293" i="1"/>
  <c r="H293" i="1"/>
  <c r="F293" i="1"/>
  <c r="B293" i="1"/>
  <c r="O292" i="1"/>
  <c r="N292" i="1"/>
  <c r="L292" i="1"/>
  <c r="J292" i="1"/>
  <c r="H292" i="1"/>
  <c r="F292" i="1"/>
  <c r="B292" i="1"/>
  <c r="O291" i="1"/>
  <c r="N291" i="1"/>
  <c r="L291" i="1"/>
  <c r="J291" i="1"/>
  <c r="H291" i="1"/>
  <c r="F291" i="1"/>
  <c r="B291" i="1"/>
  <c r="O290" i="1"/>
  <c r="N290" i="1"/>
  <c r="L290" i="1"/>
  <c r="J290" i="1"/>
  <c r="H290" i="1"/>
  <c r="F290" i="1"/>
  <c r="B290" i="1"/>
  <c r="O289" i="1"/>
  <c r="N289" i="1"/>
  <c r="L289" i="1"/>
  <c r="J289" i="1"/>
  <c r="H289" i="1"/>
  <c r="F289" i="1"/>
  <c r="B289" i="1"/>
  <c r="O288" i="1"/>
  <c r="N288" i="1"/>
  <c r="L288" i="1"/>
  <c r="J288" i="1"/>
  <c r="H288" i="1"/>
  <c r="F288" i="1"/>
  <c r="B288" i="1"/>
  <c r="O287" i="1"/>
  <c r="N287" i="1"/>
  <c r="L287" i="1"/>
  <c r="J287" i="1"/>
  <c r="H287" i="1"/>
  <c r="F287" i="1"/>
  <c r="B287" i="1"/>
  <c r="O286" i="1"/>
  <c r="N286" i="1"/>
  <c r="L286" i="1"/>
  <c r="J286" i="1"/>
  <c r="H286" i="1"/>
  <c r="F286" i="1"/>
  <c r="B286" i="1"/>
  <c r="O285" i="1"/>
  <c r="N285" i="1"/>
  <c r="L285" i="1"/>
  <c r="J285" i="1"/>
  <c r="H285" i="1"/>
  <c r="F285" i="1"/>
  <c r="B285" i="1"/>
  <c r="O284" i="1"/>
  <c r="N284" i="1"/>
  <c r="L284" i="1"/>
  <c r="J284" i="1"/>
  <c r="H284" i="1"/>
  <c r="F284" i="1"/>
  <c r="B284" i="1"/>
  <c r="O283" i="1"/>
  <c r="N283" i="1"/>
  <c r="L283" i="1"/>
  <c r="J283" i="1"/>
  <c r="H283" i="1"/>
  <c r="F283" i="1"/>
  <c r="B283" i="1"/>
  <c r="O282" i="1"/>
  <c r="N282" i="1"/>
  <c r="L282" i="1"/>
  <c r="J282" i="1"/>
  <c r="H282" i="1"/>
  <c r="F282" i="1"/>
  <c r="B282" i="1"/>
  <c r="O281" i="1"/>
  <c r="N281" i="1"/>
  <c r="L281" i="1"/>
  <c r="J281" i="1"/>
  <c r="H281" i="1"/>
  <c r="F281" i="1"/>
  <c r="B281" i="1"/>
  <c r="O280" i="1"/>
  <c r="N280" i="1"/>
  <c r="L280" i="1"/>
  <c r="J280" i="1"/>
  <c r="H280" i="1"/>
  <c r="F280" i="1"/>
  <c r="B280" i="1"/>
  <c r="O279" i="1"/>
  <c r="N279" i="1"/>
  <c r="L279" i="1"/>
  <c r="J279" i="1"/>
  <c r="H279" i="1"/>
  <c r="F279" i="1"/>
  <c r="B279" i="1"/>
  <c r="O278" i="1"/>
  <c r="N278" i="1"/>
  <c r="L278" i="1"/>
  <c r="J278" i="1"/>
  <c r="H278" i="1"/>
  <c r="F278" i="1"/>
  <c r="B278" i="1"/>
  <c r="O277" i="1"/>
  <c r="N277" i="1"/>
  <c r="L277" i="1"/>
  <c r="J277" i="1"/>
  <c r="H277" i="1"/>
  <c r="F277" i="1"/>
  <c r="B277" i="1"/>
  <c r="O276" i="1"/>
  <c r="N276" i="1"/>
  <c r="L276" i="1"/>
  <c r="J276" i="1"/>
  <c r="H276" i="1"/>
  <c r="F276" i="1"/>
  <c r="B276" i="1"/>
  <c r="O275" i="1"/>
  <c r="N275" i="1"/>
  <c r="L275" i="1"/>
  <c r="J275" i="1"/>
  <c r="H275" i="1"/>
  <c r="F275" i="1"/>
  <c r="B275" i="1"/>
  <c r="O274" i="1"/>
  <c r="N274" i="1"/>
  <c r="L274" i="1"/>
  <c r="J274" i="1"/>
  <c r="H274" i="1"/>
  <c r="F274" i="1"/>
  <c r="B274" i="1"/>
  <c r="O273" i="1"/>
  <c r="N273" i="1"/>
  <c r="L273" i="1"/>
  <c r="J273" i="1"/>
  <c r="H273" i="1"/>
  <c r="F273" i="1"/>
  <c r="B273" i="1"/>
  <c r="O272" i="1"/>
  <c r="N272" i="1"/>
  <c r="L272" i="1"/>
  <c r="J272" i="1"/>
  <c r="H272" i="1"/>
  <c r="F272" i="1"/>
  <c r="B272" i="1"/>
  <c r="O271" i="1"/>
  <c r="N271" i="1"/>
  <c r="L271" i="1"/>
  <c r="J271" i="1"/>
  <c r="H271" i="1"/>
  <c r="F271" i="1"/>
  <c r="B271" i="1"/>
  <c r="O270" i="1"/>
  <c r="N270" i="1"/>
  <c r="L270" i="1"/>
  <c r="J270" i="1"/>
  <c r="H270" i="1"/>
  <c r="F270" i="1"/>
  <c r="B270" i="1"/>
  <c r="O269" i="1"/>
  <c r="N269" i="1"/>
  <c r="L269" i="1"/>
  <c r="J269" i="1"/>
  <c r="H269" i="1"/>
  <c r="F269" i="1"/>
  <c r="B269" i="1"/>
  <c r="O268" i="1"/>
  <c r="N268" i="1"/>
  <c r="L268" i="1"/>
  <c r="J268" i="1"/>
  <c r="H268" i="1"/>
  <c r="F268" i="1"/>
  <c r="B268" i="1"/>
  <c r="O267" i="1"/>
  <c r="N267" i="1"/>
  <c r="L267" i="1"/>
  <c r="J267" i="1"/>
  <c r="H267" i="1"/>
  <c r="F267" i="1"/>
  <c r="B267" i="1"/>
  <c r="O266" i="1"/>
  <c r="N266" i="1"/>
  <c r="L266" i="1"/>
  <c r="J266" i="1"/>
  <c r="H266" i="1"/>
  <c r="F266" i="1"/>
  <c r="B266" i="1"/>
  <c r="O265" i="1"/>
  <c r="N265" i="1"/>
  <c r="L265" i="1"/>
  <c r="J265" i="1"/>
  <c r="H265" i="1"/>
  <c r="F265" i="1"/>
  <c r="B265" i="1"/>
  <c r="O264" i="1"/>
  <c r="N264" i="1"/>
  <c r="L264" i="1"/>
  <c r="J264" i="1"/>
  <c r="H264" i="1"/>
  <c r="F264" i="1"/>
  <c r="B264" i="1"/>
  <c r="O263" i="1"/>
  <c r="N263" i="1"/>
  <c r="L263" i="1"/>
  <c r="J263" i="1"/>
  <c r="H263" i="1"/>
  <c r="F263" i="1"/>
  <c r="B263" i="1"/>
  <c r="O262" i="1"/>
  <c r="N262" i="1"/>
  <c r="L262" i="1"/>
  <c r="J262" i="1"/>
  <c r="H262" i="1"/>
  <c r="F262" i="1"/>
  <c r="B262" i="1"/>
  <c r="O261" i="1"/>
  <c r="N261" i="1"/>
  <c r="L261" i="1"/>
  <c r="J261" i="1"/>
  <c r="H261" i="1"/>
  <c r="F261" i="1"/>
  <c r="B261" i="1"/>
  <c r="O260" i="1"/>
  <c r="N260" i="1"/>
  <c r="L260" i="1"/>
  <c r="J260" i="1"/>
  <c r="H260" i="1"/>
  <c r="F260" i="1"/>
  <c r="B260" i="1"/>
  <c r="O259" i="1"/>
  <c r="N259" i="1"/>
  <c r="L259" i="1"/>
  <c r="J259" i="1"/>
  <c r="H259" i="1"/>
  <c r="F259" i="1"/>
  <c r="B259" i="1"/>
  <c r="O258" i="1"/>
  <c r="N258" i="1"/>
  <c r="L258" i="1"/>
  <c r="J258" i="1"/>
  <c r="H258" i="1"/>
  <c r="F258" i="1"/>
  <c r="B258" i="1"/>
  <c r="O257" i="1"/>
  <c r="N257" i="1"/>
  <c r="L257" i="1"/>
  <c r="J257" i="1"/>
  <c r="H257" i="1"/>
  <c r="F257" i="1"/>
  <c r="B257" i="1"/>
  <c r="O256" i="1"/>
  <c r="N256" i="1"/>
  <c r="L256" i="1"/>
  <c r="J256" i="1"/>
  <c r="H256" i="1"/>
  <c r="F256" i="1"/>
  <c r="B256" i="1"/>
  <c r="O255" i="1"/>
  <c r="N255" i="1"/>
  <c r="L255" i="1"/>
  <c r="J255" i="1"/>
  <c r="H255" i="1"/>
  <c r="F255" i="1"/>
  <c r="B255" i="1"/>
  <c r="O254" i="1"/>
  <c r="N254" i="1"/>
  <c r="L254" i="1"/>
  <c r="J254" i="1"/>
  <c r="H254" i="1"/>
  <c r="F254" i="1"/>
  <c r="B254" i="1"/>
  <c r="O253" i="1"/>
  <c r="N253" i="1"/>
  <c r="L253" i="1"/>
  <c r="J253" i="1"/>
  <c r="H253" i="1"/>
  <c r="F253" i="1"/>
  <c r="B253" i="1"/>
  <c r="O252" i="1"/>
  <c r="N252" i="1"/>
  <c r="L252" i="1"/>
  <c r="J252" i="1"/>
  <c r="H252" i="1"/>
  <c r="F252" i="1"/>
  <c r="B252" i="1"/>
  <c r="O251" i="1"/>
  <c r="N251" i="1"/>
  <c r="L251" i="1"/>
  <c r="J251" i="1"/>
  <c r="H251" i="1"/>
  <c r="F251" i="1"/>
  <c r="B251" i="1"/>
  <c r="O250" i="1"/>
  <c r="N250" i="1"/>
  <c r="L250" i="1"/>
  <c r="J250" i="1"/>
  <c r="H250" i="1"/>
  <c r="F250" i="1"/>
  <c r="B250" i="1"/>
  <c r="O249" i="1"/>
  <c r="N249" i="1"/>
  <c r="L249" i="1"/>
  <c r="J249" i="1"/>
  <c r="H249" i="1"/>
  <c r="F249" i="1"/>
  <c r="B249" i="1"/>
  <c r="O248" i="1"/>
  <c r="N248" i="1"/>
  <c r="L248" i="1"/>
  <c r="J248" i="1"/>
  <c r="H248" i="1"/>
  <c r="F248" i="1"/>
  <c r="B248" i="1"/>
  <c r="O247" i="1"/>
  <c r="N247" i="1"/>
  <c r="L247" i="1"/>
  <c r="J247" i="1"/>
  <c r="H247" i="1"/>
  <c r="F247" i="1"/>
  <c r="B247" i="1"/>
  <c r="O246" i="1"/>
  <c r="N246" i="1"/>
  <c r="L246" i="1"/>
  <c r="J246" i="1"/>
  <c r="H246" i="1"/>
  <c r="F246" i="1"/>
  <c r="B246" i="1"/>
  <c r="O245" i="1"/>
  <c r="N245" i="1"/>
  <c r="L245" i="1"/>
  <c r="J245" i="1"/>
  <c r="H245" i="1"/>
  <c r="F245" i="1"/>
  <c r="B245" i="1"/>
  <c r="O244" i="1"/>
  <c r="N244" i="1"/>
  <c r="L244" i="1"/>
  <c r="J244" i="1"/>
  <c r="H244" i="1"/>
  <c r="F244" i="1"/>
  <c r="B244" i="1"/>
  <c r="O243" i="1"/>
  <c r="N243" i="1"/>
  <c r="L243" i="1"/>
  <c r="J243" i="1"/>
  <c r="H243" i="1"/>
  <c r="F243" i="1"/>
  <c r="B243" i="1"/>
  <c r="O242" i="1"/>
  <c r="N242" i="1"/>
  <c r="L242" i="1"/>
  <c r="J242" i="1"/>
  <c r="H242" i="1"/>
  <c r="F242" i="1"/>
  <c r="B242" i="1"/>
  <c r="O241" i="1"/>
  <c r="N241" i="1"/>
  <c r="L241" i="1"/>
  <c r="J241" i="1"/>
  <c r="H241" i="1"/>
  <c r="F241" i="1"/>
  <c r="B241" i="1"/>
  <c r="O240" i="1"/>
  <c r="N240" i="1"/>
  <c r="L240" i="1"/>
  <c r="J240" i="1"/>
  <c r="H240" i="1"/>
  <c r="F240" i="1"/>
  <c r="B240" i="1"/>
  <c r="O239" i="1"/>
  <c r="N239" i="1"/>
  <c r="L239" i="1"/>
  <c r="J239" i="1"/>
  <c r="H239" i="1"/>
  <c r="F239" i="1"/>
  <c r="B239" i="1"/>
  <c r="O238" i="1"/>
  <c r="N238" i="1"/>
  <c r="L238" i="1"/>
  <c r="J238" i="1"/>
  <c r="H238" i="1"/>
  <c r="F238" i="1"/>
  <c r="B238" i="1"/>
  <c r="O237" i="1"/>
  <c r="N237" i="1"/>
  <c r="L237" i="1"/>
  <c r="J237" i="1"/>
  <c r="H237" i="1"/>
  <c r="F237" i="1"/>
  <c r="B237" i="1"/>
  <c r="O236" i="1"/>
  <c r="N236" i="1"/>
  <c r="L236" i="1"/>
  <c r="J236" i="1"/>
  <c r="H236" i="1"/>
  <c r="F236" i="1"/>
  <c r="B236" i="1"/>
  <c r="O235" i="1"/>
  <c r="N235" i="1"/>
  <c r="L235" i="1"/>
  <c r="J235" i="1"/>
  <c r="H235" i="1"/>
  <c r="F235" i="1"/>
  <c r="B235" i="1"/>
  <c r="O234" i="1"/>
  <c r="N234" i="1"/>
  <c r="L234" i="1"/>
  <c r="J234" i="1"/>
  <c r="H234" i="1"/>
  <c r="F234" i="1"/>
  <c r="B234" i="1"/>
  <c r="O233" i="1"/>
  <c r="N233" i="1"/>
  <c r="L233" i="1"/>
  <c r="J233" i="1"/>
  <c r="H233" i="1"/>
  <c r="F233" i="1"/>
  <c r="B233" i="1"/>
  <c r="O232" i="1"/>
  <c r="N232" i="1"/>
  <c r="L232" i="1"/>
  <c r="J232" i="1"/>
  <c r="H232" i="1"/>
  <c r="F232" i="1"/>
  <c r="B232" i="1"/>
  <c r="O231" i="1"/>
  <c r="N231" i="1"/>
  <c r="L231" i="1"/>
  <c r="J231" i="1"/>
  <c r="H231" i="1"/>
  <c r="F231" i="1"/>
  <c r="B231" i="1"/>
  <c r="O230" i="1"/>
  <c r="N230" i="1"/>
  <c r="L230" i="1"/>
  <c r="J230" i="1"/>
  <c r="H230" i="1"/>
  <c r="F230" i="1"/>
  <c r="B230" i="1"/>
  <c r="O229" i="1"/>
  <c r="N229" i="1"/>
  <c r="L229" i="1"/>
  <c r="J229" i="1"/>
  <c r="H229" i="1"/>
  <c r="F229" i="1"/>
  <c r="B229" i="1"/>
  <c r="O228" i="1"/>
  <c r="N228" i="1"/>
  <c r="L228" i="1"/>
  <c r="J228" i="1"/>
  <c r="H228" i="1"/>
  <c r="F228" i="1"/>
  <c r="B228" i="1"/>
  <c r="O227" i="1"/>
  <c r="N227" i="1"/>
  <c r="L227" i="1"/>
  <c r="J227" i="1"/>
  <c r="H227" i="1"/>
  <c r="F227" i="1"/>
  <c r="B227" i="1"/>
  <c r="O226" i="1"/>
  <c r="N226" i="1"/>
  <c r="L226" i="1"/>
  <c r="J226" i="1"/>
  <c r="H226" i="1"/>
  <c r="F226" i="1"/>
  <c r="B226" i="1"/>
  <c r="O225" i="1"/>
  <c r="N225" i="1"/>
  <c r="L225" i="1"/>
  <c r="J225" i="1"/>
  <c r="H225" i="1"/>
  <c r="F225" i="1"/>
  <c r="B225" i="1"/>
  <c r="O224" i="1"/>
  <c r="N224" i="1"/>
  <c r="L224" i="1"/>
  <c r="J224" i="1"/>
  <c r="H224" i="1"/>
  <c r="F224" i="1"/>
  <c r="B224" i="1"/>
  <c r="O223" i="1"/>
  <c r="N223" i="1"/>
  <c r="L223" i="1"/>
  <c r="J223" i="1"/>
  <c r="H223" i="1"/>
  <c r="F223" i="1"/>
  <c r="B223" i="1"/>
  <c r="O222" i="1"/>
  <c r="N222" i="1"/>
  <c r="L222" i="1"/>
  <c r="J222" i="1"/>
  <c r="H222" i="1"/>
  <c r="F222" i="1"/>
  <c r="B222" i="1"/>
  <c r="O221" i="1"/>
  <c r="N221" i="1"/>
  <c r="L221" i="1"/>
  <c r="J221" i="1"/>
  <c r="H221" i="1"/>
  <c r="F221" i="1"/>
  <c r="B221" i="1"/>
  <c r="O220" i="1"/>
  <c r="N220" i="1"/>
  <c r="L220" i="1"/>
  <c r="J220" i="1"/>
  <c r="H220" i="1"/>
  <c r="F220" i="1"/>
  <c r="B220" i="1"/>
  <c r="O219" i="1"/>
  <c r="N219" i="1"/>
  <c r="L219" i="1"/>
  <c r="J219" i="1"/>
  <c r="H219" i="1"/>
  <c r="F219" i="1"/>
  <c r="B219" i="1"/>
  <c r="O218" i="1"/>
  <c r="N218" i="1"/>
  <c r="L218" i="1"/>
  <c r="J218" i="1"/>
  <c r="H218" i="1"/>
  <c r="F218" i="1"/>
  <c r="B218" i="1"/>
  <c r="O217" i="1"/>
  <c r="N217" i="1"/>
  <c r="L217" i="1"/>
  <c r="J217" i="1"/>
  <c r="H217" i="1"/>
  <c r="F217" i="1"/>
  <c r="B217" i="1"/>
  <c r="O216" i="1"/>
  <c r="N216" i="1"/>
  <c r="L216" i="1"/>
  <c r="J216" i="1"/>
  <c r="H216" i="1"/>
  <c r="F216" i="1"/>
  <c r="B216" i="1"/>
  <c r="O215" i="1"/>
  <c r="N215" i="1"/>
  <c r="L215" i="1"/>
  <c r="J215" i="1"/>
  <c r="H215" i="1"/>
  <c r="F215" i="1"/>
  <c r="B215" i="1"/>
  <c r="O214" i="1"/>
  <c r="N214" i="1"/>
  <c r="L214" i="1"/>
  <c r="J214" i="1"/>
  <c r="H214" i="1"/>
  <c r="F214" i="1"/>
  <c r="B214" i="1"/>
  <c r="O213" i="1"/>
  <c r="N213" i="1"/>
  <c r="L213" i="1"/>
  <c r="J213" i="1"/>
  <c r="H213" i="1"/>
  <c r="F213" i="1"/>
  <c r="B213" i="1"/>
  <c r="O212" i="1"/>
  <c r="N212" i="1"/>
  <c r="L212" i="1"/>
  <c r="J212" i="1"/>
  <c r="H212" i="1"/>
  <c r="F212" i="1"/>
  <c r="B212" i="1"/>
  <c r="O211" i="1"/>
  <c r="N211" i="1"/>
  <c r="L211" i="1"/>
  <c r="J211" i="1"/>
  <c r="H211" i="1"/>
  <c r="F211" i="1"/>
  <c r="B211" i="1"/>
  <c r="O210" i="1"/>
  <c r="N210" i="1"/>
  <c r="L210" i="1"/>
  <c r="J210" i="1"/>
  <c r="H210" i="1"/>
  <c r="F210" i="1"/>
  <c r="B210" i="1"/>
  <c r="O209" i="1"/>
  <c r="N209" i="1"/>
  <c r="L209" i="1"/>
  <c r="J209" i="1"/>
  <c r="H209" i="1"/>
  <c r="F209" i="1"/>
  <c r="B209" i="1"/>
  <c r="O208" i="1"/>
  <c r="N208" i="1"/>
  <c r="L208" i="1"/>
  <c r="J208" i="1"/>
  <c r="H208" i="1"/>
  <c r="F208" i="1"/>
  <c r="B208" i="1"/>
  <c r="O207" i="1"/>
  <c r="N207" i="1"/>
  <c r="L207" i="1"/>
  <c r="J207" i="1"/>
  <c r="H207" i="1"/>
  <c r="F207" i="1"/>
  <c r="B207" i="1"/>
  <c r="O206" i="1"/>
  <c r="N206" i="1"/>
  <c r="L206" i="1"/>
  <c r="J206" i="1"/>
  <c r="H206" i="1"/>
  <c r="F206" i="1"/>
  <c r="B206" i="1"/>
  <c r="O205" i="1"/>
  <c r="N205" i="1"/>
  <c r="L205" i="1"/>
  <c r="J205" i="1"/>
  <c r="H205" i="1"/>
  <c r="F205" i="1"/>
  <c r="B205" i="1"/>
  <c r="O204" i="1"/>
  <c r="N204" i="1"/>
  <c r="L204" i="1"/>
  <c r="J204" i="1"/>
  <c r="H204" i="1"/>
  <c r="F204" i="1"/>
  <c r="B204" i="1"/>
  <c r="O203" i="1"/>
  <c r="N203" i="1"/>
  <c r="L203" i="1"/>
  <c r="J203" i="1"/>
  <c r="H203" i="1"/>
  <c r="F203" i="1"/>
  <c r="B203" i="1"/>
  <c r="O202" i="1"/>
  <c r="N202" i="1"/>
  <c r="L202" i="1"/>
  <c r="J202" i="1"/>
  <c r="H202" i="1"/>
  <c r="F202" i="1"/>
  <c r="B202" i="1"/>
  <c r="O201" i="1"/>
  <c r="N201" i="1"/>
  <c r="L201" i="1"/>
  <c r="J201" i="1"/>
  <c r="H201" i="1"/>
  <c r="F201" i="1"/>
  <c r="B201" i="1"/>
  <c r="O200" i="1"/>
  <c r="N200" i="1"/>
  <c r="L200" i="1"/>
  <c r="J200" i="1"/>
  <c r="H200" i="1"/>
  <c r="F200" i="1"/>
  <c r="B200" i="1"/>
  <c r="O199" i="1"/>
  <c r="N199" i="1"/>
  <c r="L199" i="1"/>
  <c r="J199" i="1"/>
  <c r="H199" i="1"/>
  <c r="F199" i="1"/>
  <c r="B199" i="1"/>
  <c r="O198" i="1"/>
  <c r="N198" i="1"/>
  <c r="L198" i="1"/>
  <c r="J198" i="1"/>
  <c r="H198" i="1"/>
  <c r="F198" i="1"/>
  <c r="B198" i="1"/>
  <c r="O197" i="1"/>
  <c r="N197" i="1"/>
  <c r="L197" i="1"/>
  <c r="J197" i="1"/>
  <c r="H197" i="1"/>
  <c r="F197" i="1"/>
  <c r="B197" i="1"/>
  <c r="O196" i="1"/>
  <c r="N196" i="1"/>
  <c r="L196" i="1"/>
  <c r="J196" i="1"/>
  <c r="H196" i="1"/>
  <c r="F196" i="1"/>
  <c r="B196" i="1"/>
  <c r="O195" i="1"/>
  <c r="N195" i="1"/>
  <c r="L195" i="1"/>
  <c r="J195" i="1"/>
  <c r="H195" i="1"/>
  <c r="F195" i="1"/>
  <c r="B195" i="1"/>
  <c r="O194" i="1"/>
  <c r="N194" i="1"/>
  <c r="L194" i="1"/>
  <c r="J194" i="1"/>
  <c r="H194" i="1"/>
  <c r="F194" i="1"/>
  <c r="B194" i="1"/>
  <c r="O193" i="1"/>
  <c r="N193" i="1"/>
  <c r="L193" i="1"/>
  <c r="J193" i="1"/>
  <c r="H193" i="1"/>
  <c r="F193" i="1"/>
  <c r="B193" i="1"/>
  <c r="O192" i="1"/>
  <c r="N192" i="1"/>
  <c r="L192" i="1"/>
  <c r="J192" i="1"/>
  <c r="H192" i="1"/>
  <c r="F192" i="1"/>
  <c r="B192" i="1"/>
  <c r="O191" i="1"/>
  <c r="N191" i="1"/>
  <c r="L191" i="1"/>
  <c r="J191" i="1"/>
  <c r="H191" i="1"/>
  <c r="F191" i="1"/>
  <c r="B191" i="1"/>
  <c r="O190" i="1"/>
  <c r="N190" i="1"/>
  <c r="L190" i="1"/>
  <c r="J190" i="1"/>
  <c r="H190" i="1"/>
  <c r="F190" i="1"/>
  <c r="B190" i="1"/>
  <c r="O189" i="1"/>
  <c r="N189" i="1"/>
  <c r="L189" i="1"/>
  <c r="J189" i="1"/>
  <c r="H189" i="1"/>
  <c r="F189" i="1"/>
  <c r="B189" i="1"/>
  <c r="O188" i="1"/>
  <c r="N188" i="1"/>
  <c r="L188" i="1"/>
  <c r="J188" i="1"/>
  <c r="H188" i="1"/>
  <c r="F188" i="1"/>
  <c r="B188" i="1"/>
  <c r="O187" i="1"/>
  <c r="N187" i="1"/>
  <c r="L187" i="1"/>
  <c r="J187" i="1"/>
  <c r="H187" i="1"/>
  <c r="F187" i="1"/>
  <c r="B187" i="1"/>
  <c r="O186" i="1"/>
  <c r="N186" i="1"/>
  <c r="L186" i="1"/>
  <c r="J186" i="1"/>
  <c r="H186" i="1"/>
  <c r="F186" i="1"/>
  <c r="B186" i="1"/>
  <c r="O185" i="1"/>
  <c r="N185" i="1"/>
  <c r="L185" i="1"/>
  <c r="J185" i="1"/>
  <c r="H185" i="1"/>
  <c r="F185" i="1"/>
  <c r="B185" i="1"/>
  <c r="O184" i="1"/>
  <c r="N184" i="1"/>
  <c r="L184" i="1"/>
  <c r="J184" i="1"/>
  <c r="H184" i="1"/>
  <c r="F184" i="1"/>
  <c r="B184" i="1"/>
  <c r="O183" i="1"/>
  <c r="N183" i="1"/>
  <c r="L183" i="1"/>
  <c r="J183" i="1"/>
  <c r="H183" i="1"/>
  <c r="F183" i="1"/>
  <c r="B183" i="1"/>
  <c r="O182" i="1"/>
  <c r="N182" i="1"/>
  <c r="L182" i="1"/>
  <c r="J182" i="1"/>
  <c r="H182" i="1"/>
  <c r="F182" i="1"/>
  <c r="B182" i="1"/>
  <c r="O181" i="1"/>
  <c r="N181" i="1"/>
  <c r="L181" i="1"/>
  <c r="J181" i="1"/>
  <c r="H181" i="1"/>
  <c r="F181" i="1"/>
  <c r="B181" i="1"/>
  <c r="O180" i="1"/>
  <c r="N180" i="1"/>
  <c r="L180" i="1"/>
  <c r="J180" i="1"/>
  <c r="H180" i="1"/>
  <c r="F180" i="1"/>
  <c r="B180" i="1"/>
  <c r="O179" i="1"/>
  <c r="N179" i="1"/>
  <c r="L179" i="1"/>
  <c r="J179" i="1"/>
  <c r="H179" i="1"/>
  <c r="F179" i="1"/>
  <c r="B179" i="1"/>
  <c r="O178" i="1"/>
  <c r="N178" i="1"/>
  <c r="L178" i="1"/>
  <c r="J178" i="1"/>
  <c r="H178" i="1"/>
  <c r="F178" i="1"/>
  <c r="B178" i="1"/>
  <c r="O177" i="1"/>
  <c r="N177" i="1"/>
  <c r="L177" i="1"/>
  <c r="J177" i="1"/>
  <c r="H177" i="1"/>
  <c r="F177" i="1"/>
  <c r="B177" i="1"/>
  <c r="O176" i="1"/>
  <c r="N176" i="1"/>
  <c r="L176" i="1"/>
  <c r="J176" i="1"/>
  <c r="H176" i="1"/>
  <c r="F176" i="1"/>
  <c r="B176" i="1"/>
  <c r="O175" i="1"/>
  <c r="N175" i="1"/>
  <c r="L175" i="1"/>
  <c r="J175" i="1"/>
  <c r="H175" i="1"/>
  <c r="F175" i="1"/>
  <c r="B175" i="1"/>
  <c r="O174" i="1"/>
  <c r="N174" i="1"/>
  <c r="L174" i="1"/>
  <c r="J174" i="1"/>
  <c r="H174" i="1"/>
  <c r="F174" i="1"/>
  <c r="B174" i="1"/>
  <c r="O173" i="1"/>
  <c r="N173" i="1"/>
  <c r="L173" i="1"/>
  <c r="J173" i="1"/>
  <c r="H173" i="1"/>
  <c r="F173" i="1"/>
  <c r="B173" i="1"/>
  <c r="O172" i="1"/>
  <c r="N172" i="1"/>
  <c r="L172" i="1"/>
  <c r="J172" i="1"/>
  <c r="H172" i="1"/>
  <c r="F172" i="1"/>
  <c r="B172" i="1"/>
  <c r="O171" i="1"/>
  <c r="N171" i="1"/>
  <c r="L171" i="1"/>
  <c r="J171" i="1"/>
  <c r="H171" i="1"/>
  <c r="F171" i="1"/>
  <c r="B171" i="1"/>
  <c r="O170" i="1"/>
  <c r="N170" i="1"/>
  <c r="L170" i="1"/>
  <c r="J170" i="1"/>
  <c r="H170" i="1"/>
  <c r="F170" i="1"/>
  <c r="B170" i="1"/>
  <c r="O169" i="1"/>
  <c r="N169" i="1"/>
  <c r="L169" i="1"/>
  <c r="J169" i="1"/>
  <c r="H169" i="1"/>
  <c r="F169" i="1"/>
  <c r="B169" i="1"/>
  <c r="O168" i="1"/>
  <c r="N168" i="1"/>
  <c r="L168" i="1"/>
  <c r="J168" i="1"/>
  <c r="H168" i="1"/>
  <c r="F168" i="1"/>
  <c r="B168" i="1"/>
  <c r="O167" i="1"/>
  <c r="N167" i="1"/>
  <c r="L167" i="1"/>
  <c r="J167" i="1"/>
  <c r="H167" i="1"/>
  <c r="F167" i="1"/>
  <c r="B167" i="1"/>
  <c r="O166" i="1"/>
  <c r="N166" i="1"/>
  <c r="L166" i="1"/>
  <c r="J166" i="1"/>
  <c r="H166" i="1"/>
  <c r="F166" i="1"/>
  <c r="B166" i="1"/>
  <c r="O165" i="1"/>
  <c r="N165" i="1"/>
  <c r="L165" i="1"/>
  <c r="J165" i="1"/>
  <c r="H165" i="1"/>
  <c r="F165" i="1"/>
  <c r="B165" i="1"/>
  <c r="O164" i="1"/>
  <c r="N164" i="1"/>
  <c r="L164" i="1"/>
  <c r="J164" i="1"/>
  <c r="H164" i="1"/>
  <c r="F164" i="1"/>
  <c r="B164" i="1"/>
  <c r="O163" i="1"/>
  <c r="N163" i="1"/>
  <c r="L163" i="1"/>
  <c r="J163" i="1"/>
  <c r="H163" i="1"/>
  <c r="F163" i="1"/>
  <c r="B163" i="1"/>
  <c r="O162" i="1"/>
  <c r="N162" i="1"/>
  <c r="L162" i="1"/>
  <c r="J162" i="1"/>
  <c r="H162" i="1"/>
  <c r="F162" i="1"/>
  <c r="B162" i="1"/>
  <c r="O161" i="1"/>
  <c r="N161" i="1"/>
  <c r="L161" i="1"/>
  <c r="J161" i="1"/>
  <c r="H161" i="1"/>
  <c r="F161" i="1"/>
  <c r="B161" i="1"/>
  <c r="O160" i="1"/>
  <c r="N160" i="1"/>
  <c r="L160" i="1"/>
  <c r="J160" i="1"/>
  <c r="H160" i="1"/>
  <c r="F160" i="1"/>
  <c r="B160" i="1"/>
  <c r="O159" i="1"/>
  <c r="N159" i="1"/>
  <c r="L159" i="1"/>
  <c r="J159" i="1"/>
  <c r="H159" i="1"/>
  <c r="F159" i="1"/>
  <c r="B159" i="1"/>
  <c r="O158" i="1"/>
  <c r="N158" i="1"/>
  <c r="L158" i="1"/>
  <c r="J158" i="1"/>
  <c r="H158" i="1"/>
  <c r="F158" i="1"/>
  <c r="B158" i="1"/>
  <c r="O157" i="1"/>
  <c r="N157" i="1"/>
  <c r="L157" i="1"/>
  <c r="J157" i="1"/>
  <c r="H157" i="1"/>
  <c r="F157" i="1"/>
  <c r="B157" i="1"/>
  <c r="O156" i="1"/>
  <c r="N156" i="1"/>
  <c r="L156" i="1"/>
  <c r="J156" i="1"/>
  <c r="H156" i="1"/>
  <c r="F156" i="1"/>
  <c r="B156" i="1"/>
  <c r="O155" i="1"/>
  <c r="N155" i="1"/>
  <c r="L155" i="1"/>
  <c r="J155" i="1"/>
  <c r="H155" i="1"/>
  <c r="F155" i="1"/>
  <c r="B155" i="1"/>
  <c r="O154" i="1"/>
  <c r="N154" i="1"/>
  <c r="L154" i="1"/>
  <c r="J154" i="1"/>
  <c r="H154" i="1"/>
  <c r="F154" i="1"/>
  <c r="B154" i="1"/>
  <c r="O153" i="1"/>
  <c r="N153" i="1"/>
  <c r="L153" i="1"/>
  <c r="J153" i="1"/>
  <c r="H153" i="1"/>
  <c r="F153" i="1"/>
  <c r="B153" i="1"/>
  <c r="O152" i="1"/>
  <c r="N152" i="1"/>
  <c r="L152" i="1"/>
  <c r="J152" i="1"/>
  <c r="H152" i="1"/>
  <c r="F152" i="1"/>
  <c r="B152" i="1"/>
  <c r="O151" i="1"/>
  <c r="N151" i="1"/>
  <c r="L151" i="1"/>
  <c r="J151" i="1"/>
  <c r="H151" i="1"/>
  <c r="F151" i="1"/>
  <c r="B151" i="1"/>
  <c r="O150" i="1"/>
  <c r="N150" i="1"/>
  <c r="L150" i="1"/>
  <c r="J150" i="1"/>
  <c r="H150" i="1"/>
  <c r="F150" i="1"/>
  <c r="B150" i="1"/>
  <c r="O149" i="1"/>
  <c r="N149" i="1"/>
  <c r="L149" i="1"/>
  <c r="J149" i="1"/>
  <c r="H149" i="1"/>
  <c r="F149" i="1"/>
  <c r="B149" i="1"/>
  <c r="O148" i="1"/>
  <c r="N148" i="1"/>
  <c r="L148" i="1"/>
  <c r="J148" i="1"/>
  <c r="H148" i="1"/>
  <c r="F148" i="1"/>
  <c r="B148" i="1"/>
  <c r="O147" i="1"/>
  <c r="N147" i="1"/>
  <c r="L147" i="1"/>
  <c r="J147" i="1"/>
  <c r="H147" i="1"/>
  <c r="F147" i="1"/>
  <c r="B147" i="1"/>
  <c r="O146" i="1"/>
  <c r="N146" i="1"/>
  <c r="L146" i="1"/>
  <c r="J146" i="1"/>
  <c r="H146" i="1"/>
  <c r="F146" i="1"/>
  <c r="B146" i="1"/>
  <c r="O145" i="1"/>
  <c r="N145" i="1"/>
  <c r="L145" i="1"/>
  <c r="J145" i="1"/>
  <c r="H145" i="1"/>
  <c r="F145" i="1"/>
  <c r="B145" i="1"/>
  <c r="O144" i="1"/>
  <c r="N144" i="1"/>
  <c r="L144" i="1"/>
  <c r="J144" i="1"/>
  <c r="H144" i="1"/>
  <c r="F144" i="1"/>
  <c r="B144" i="1"/>
  <c r="O143" i="1"/>
  <c r="N143" i="1"/>
  <c r="L143" i="1"/>
  <c r="J143" i="1"/>
  <c r="H143" i="1"/>
  <c r="F143" i="1"/>
  <c r="B143" i="1"/>
  <c r="O142" i="1"/>
  <c r="N142" i="1"/>
  <c r="L142" i="1"/>
  <c r="J142" i="1"/>
  <c r="H142" i="1"/>
  <c r="F142" i="1"/>
  <c r="B142" i="1"/>
  <c r="O141" i="1"/>
  <c r="N141" i="1"/>
  <c r="L141" i="1"/>
  <c r="J141" i="1"/>
  <c r="H141" i="1"/>
  <c r="F141" i="1"/>
  <c r="B141" i="1"/>
  <c r="O140" i="1"/>
  <c r="N140" i="1"/>
  <c r="L140" i="1"/>
  <c r="J140" i="1"/>
  <c r="H140" i="1"/>
  <c r="F140" i="1"/>
  <c r="B140" i="1"/>
  <c r="O139" i="1"/>
  <c r="N139" i="1"/>
  <c r="L139" i="1"/>
  <c r="J139" i="1"/>
  <c r="H139" i="1"/>
  <c r="F139" i="1"/>
  <c r="B139" i="1"/>
  <c r="O138" i="1"/>
  <c r="N138" i="1"/>
  <c r="L138" i="1"/>
  <c r="J138" i="1"/>
  <c r="H138" i="1"/>
  <c r="F138" i="1"/>
  <c r="B138" i="1"/>
  <c r="O137" i="1"/>
  <c r="N137" i="1"/>
  <c r="L137" i="1"/>
  <c r="J137" i="1"/>
  <c r="H137" i="1"/>
  <c r="F137" i="1"/>
  <c r="B137" i="1"/>
  <c r="O136" i="1"/>
  <c r="N136" i="1"/>
  <c r="L136" i="1"/>
  <c r="J136" i="1"/>
  <c r="H136" i="1"/>
  <c r="F136" i="1"/>
  <c r="B136" i="1"/>
  <c r="O135" i="1"/>
  <c r="N135" i="1"/>
  <c r="L135" i="1"/>
  <c r="J135" i="1"/>
  <c r="H135" i="1"/>
  <c r="F135" i="1"/>
  <c r="B135" i="1"/>
  <c r="O134" i="1"/>
  <c r="N134" i="1"/>
  <c r="L134" i="1"/>
  <c r="J134" i="1"/>
  <c r="H134" i="1"/>
  <c r="F134" i="1"/>
  <c r="B134" i="1"/>
  <c r="O133" i="1"/>
  <c r="N133" i="1"/>
  <c r="L133" i="1"/>
  <c r="J133" i="1"/>
  <c r="H133" i="1"/>
  <c r="F133" i="1"/>
  <c r="B133" i="1"/>
  <c r="O132" i="1"/>
  <c r="N132" i="1"/>
  <c r="L132" i="1"/>
  <c r="J132" i="1"/>
  <c r="H132" i="1"/>
  <c r="F132" i="1"/>
  <c r="B132" i="1"/>
  <c r="O131" i="1"/>
  <c r="N131" i="1"/>
  <c r="L131" i="1"/>
  <c r="J131" i="1"/>
  <c r="H131" i="1"/>
  <c r="F131" i="1"/>
  <c r="B131" i="1"/>
  <c r="O130" i="1"/>
  <c r="N130" i="1"/>
  <c r="L130" i="1"/>
  <c r="J130" i="1"/>
  <c r="H130" i="1"/>
  <c r="F130" i="1"/>
  <c r="B130" i="1"/>
  <c r="O129" i="1"/>
  <c r="N129" i="1"/>
  <c r="L129" i="1"/>
  <c r="J129" i="1"/>
  <c r="H129" i="1"/>
  <c r="F129" i="1"/>
  <c r="B129" i="1"/>
  <c r="O128" i="1"/>
  <c r="N128" i="1"/>
  <c r="L128" i="1"/>
  <c r="J128" i="1"/>
  <c r="H128" i="1"/>
  <c r="F128" i="1"/>
  <c r="B128" i="1"/>
  <c r="O127" i="1"/>
  <c r="N127" i="1"/>
  <c r="L127" i="1"/>
  <c r="J127" i="1"/>
  <c r="H127" i="1"/>
  <c r="F127" i="1"/>
  <c r="B127" i="1"/>
  <c r="O126" i="1"/>
  <c r="N126" i="1"/>
  <c r="L126" i="1"/>
  <c r="J126" i="1"/>
  <c r="H126" i="1"/>
  <c r="F126" i="1"/>
  <c r="B126" i="1"/>
  <c r="O125" i="1"/>
  <c r="N125" i="1"/>
  <c r="L125" i="1"/>
  <c r="J125" i="1"/>
  <c r="H125" i="1"/>
  <c r="F125" i="1"/>
  <c r="B125" i="1"/>
  <c r="O124" i="1"/>
  <c r="N124" i="1"/>
  <c r="L124" i="1"/>
  <c r="J124" i="1"/>
  <c r="H124" i="1"/>
  <c r="F124" i="1"/>
  <c r="B124" i="1"/>
  <c r="O123" i="1"/>
  <c r="N123" i="1"/>
  <c r="L123" i="1"/>
  <c r="J123" i="1"/>
  <c r="H123" i="1"/>
  <c r="F123" i="1"/>
  <c r="B123" i="1"/>
  <c r="O122" i="1"/>
  <c r="N122" i="1"/>
  <c r="L122" i="1"/>
  <c r="J122" i="1"/>
  <c r="H122" i="1"/>
  <c r="F122" i="1"/>
  <c r="B122" i="1"/>
  <c r="O121" i="1"/>
  <c r="N121" i="1"/>
  <c r="L121" i="1"/>
  <c r="J121" i="1"/>
  <c r="H121" i="1"/>
  <c r="F121" i="1"/>
  <c r="B121" i="1"/>
  <c r="O120" i="1"/>
  <c r="N120" i="1"/>
  <c r="L120" i="1"/>
  <c r="J120" i="1"/>
  <c r="H120" i="1"/>
  <c r="F120" i="1"/>
  <c r="B120" i="1"/>
  <c r="O119" i="1"/>
  <c r="N119" i="1"/>
  <c r="L119" i="1"/>
  <c r="J119" i="1"/>
  <c r="H119" i="1"/>
  <c r="F119" i="1"/>
  <c r="B119" i="1"/>
  <c r="O118" i="1"/>
  <c r="N118" i="1"/>
  <c r="L118" i="1"/>
  <c r="J118" i="1"/>
  <c r="H118" i="1"/>
  <c r="F118" i="1"/>
  <c r="B118" i="1"/>
  <c r="O117" i="1"/>
  <c r="N117" i="1"/>
  <c r="L117" i="1"/>
  <c r="J117" i="1"/>
  <c r="H117" i="1"/>
  <c r="F117" i="1"/>
  <c r="B117" i="1"/>
  <c r="O116" i="1"/>
  <c r="N116" i="1"/>
  <c r="L116" i="1"/>
  <c r="J116" i="1"/>
  <c r="H116" i="1"/>
  <c r="F116" i="1"/>
  <c r="B116" i="1"/>
  <c r="O115" i="1"/>
  <c r="N115" i="1"/>
  <c r="L115" i="1"/>
  <c r="J115" i="1"/>
  <c r="H115" i="1"/>
  <c r="F115" i="1"/>
  <c r="B115" i="1"/>
  <c r="O114" i="1"/>
  <c r="N114" i="1"/>
  <c r="L114" i="1"/>
  <c r="J114" i="1"/>
  <c r="H114" i="1"/>
  <c r="F114" i="1"/>
  <c r="B114" i="1"/>
  <c r="O113" i="1"/>
  <c r="N113" i="1"/>
  <c r="L113" i="1"/>
  <c r="J113" i="1"/>
  <c r="H113" i="1"/>
  <c r="F113" i="1"/>
  <c r="B113" i="1"/>
  <c r="O112" i="1"/>
  <c r="N112" i="1"/>
  <c r="L112" i="1"/>
  <c r="J112" i="1"/>
  <c r="H112" i="1"/>
  <c r="F112" i="1"/>
  <c r="B112" i="1"/>
  <c r="O111" i="1"/>
  <c r="N111" i="1"/>
  <c r="L111" i="1"/>
  <c r="J111" i="1"/>
  <c r="H111" i="1"/>
  <c r="F111" i="1"/>
  <c r="B111" i="1"/>
  <c r="O110" i="1"/>
  <c r="N110" i="1"/>
  <c r="L110" i="1"/>
  <c r="J110" i="1"/>
  <c r="H110" i="1"/>
  <c r="F110" i="1"/>
  <c r="B110" i="1"/>
  <c r="O109" i="1"/>
  <c r="N109" i="1"/>
  <c r="L109" i="1"/>
  <c r="J109" i="1"/>
  <c r="H109" i="1"/>
  <c r="F109" i="1"/>
  <c r="B109" i="1"/>
  <c r="O108" i="1"/>
  <c r="N108" i="1"/>
  <c r="L108" i="1"/>
  <c r="J108" i="1"/>
  <c r="H108" i="1"/>
  <c r="F108" i="1"/>
  <c r="B108" i="1"/>
  <c r="O107" i="1"/>
  <c r="N107" i="1"/>
  <c r="L107" i="1"/>
  <c r="J107" i="1"/>
  <c r="H107" i="1"/>
  <c r="F107" i="1"/>
  <c r="B107" i="1"/>
  <c r="O106" i="1"/>
  <c r="N106" i="1"/>
  <c r="L106" i="1"/>
  <c r="J106" i="1"/>
  <c r="H106" i="1"/>
  <c r="F106" i="1"/>
  <c r="B106" i="1"/>
  <c r="O105" i="1"/>
  <c r="N105" i="1"/>
  <c r="L105" i="1"/>
  <c r="J105" i="1"/>
  <c r="H105" i="1"/>
  <c r="F105" i="1"/>
  <c r="B105" i="1"/>
  <c r="O104" i="1"/>
  <c r="N104" i="1"/>
  <c r="L104" i="1"/>
  <c r="J104" i="1"/>
  <c r="H104" i="1"/>
  <c r="F104" i="1"/>
  <c r="B104" i="1"/>
  <c r="O103" i="1"/>
  <c r="N103" i="1"/>
  <c r="L103" i="1"/>
  <c r="J103" i="1"/>
  <c r="H103" i="1"/>
  <c r="F103" i="1"/>
  <c r="B103" i="1"/>
  <c r="O102" i="1"/>
  <c r="N102" i="1"/>
  <c r="L102" i="1"/>
  <c r="J102" i="1"/>
  <c r="H102" i="1"/>
  <c r="F102" i="1"/>
  <c r="B102" i="1"/>
  <c r="O101" i="1"/>
  <c r="N101" i="1"/>
  <c r="L101" i="1"/>
  <c r="J101" i="1"/>
  <c r="H101" i="1"/>
  <c r="F101" i="1"/>
  <c r="B101" i="1"/>
  <c r="O100" i="1"/>
  <c r="N100" i="1"/>
  <c r="L100" i="1"/>
  <c r="J100" i="1"/>
  <c r="H100" i="1"/>
  <c r="F100" i="1"/>
  <c r="B100" i="1"/>
  <c r="O99" i="1"/>
  <c r="N99" i="1"/>
  <c r="L99" i="1"/>
  <c r="J99" i="1"/>
  <c r="H99" i="1"/>
  <c r="F99" i="1"/>
  <c r="B99" i="1"/>
  <c r="O98" i="1"/>
  <c r="N98" i="1"/>
  <c r="L98" i="1"/>
  <c r="J98" i="1"/>
  <c r="H98" i="1"/>
  <c r="F98" i="1"/>
  <c r="B98" i="1"/>
  <c r="O97" i="1"/>
  <c r="N97" i="1"/>
  <c r="L97" i="1"/>
  <c r="J97" i="1"/>
  <c r="H97" i="1"/>
  <c r="F97" i="1"/>
  <c r="B97" i="1"/>
  <c r="O96" i="1"/>
  <c r="N96" i="1"/>
  <c r="L96" i="1"/>
  <c r="J96" i="1"/>
  <c r="H96" i="1"/>
  <c r="F96" i="1"/>
  <c r="B96" i="1"/>
  <c r="O95" i="1"/>
  <c r="N95" i="1"/>
  <c r="L95" i="1"/>
  <c r="J95" i="1"/>
  <c r="H95" i="1"/>
  <c r="F95" i="1"/>
  <c r="B95" i="1"/>
  <c r="O94" i="1"/>
  <c r="N94" i="1"/>
  <c r="L94" i="1"/>
  <c r="J94" i="1"/>
  <c r="H94" i="1"/>
  <c r="F94" i="1"/>
  <c r="B94" i="1"/>
  <c r="O93" i="1"/>
  <c r="N93" i="1"/>
  <c r="L93" i="1"/>
  <c r="J93" i="1"/>
  <c r="H93" i="1"/>
  <c r="F93" i="1"/>
  <c r="B93" i="1"/>
  <c r="O92" i="1"/>
  <c r="N92" i="1"/>
  <c r="L92" i="1"/>
  <c r="J92" i="1"/>
  <c r="H92" i="1"/>
  <c r="F92" i="1"/>
  <c r="B92" i="1"/>
  <c r="O91" i="1"/>
  <c r="N91" i="1"/>
  <c r="L91" i="1"/>
  <c r="J91" i="1"/>
  <c r="H91" i="1"/>
  <c r="F91" i="1"/>
  <c r="B91" i="1"/>
  <c r="O90" i="1"/>
  <c r="N90" i="1"/>
  <c r="L90" i="1"/>
  <c r="J90" i="1"/>
  <c r="H90" i="1"/>
  <c r="F90" i="1"/>
  <c r="B90" i="1"/>
  <c r="O89" i="1"/>
  <c r="N89" i="1"/>
  <c r="L89" i="1"/>
  <c r="J89" i="1"/>
  <c r="H89" i="1"/>
  <c r="F89" i="1"/>
  <c r="B89" i="1"/>
  <c r="O88" i="1"/>
  <c r="N88" i="1"/>
  <c r="L88" i="1"/>
  <c r="J88" i="1"/>
  <c r="H88" i="1"/>
  <c r="F88" i="1"/>
  <c r="B88" i="1"/>
  <c r="O87" i="1"/>
  <c r="N87" i="1"/>
  <c r="L87" i="1"/>
  <c r="J87" i="1"/>
  <c r="H87" i="1"/>
  <c r="F87" i="1"/>
  <c r="B87" i="1"/>
  <c r="O86" i="1"/>
  <c r="N86" i="1"/>
  <c r="L86" i="1"/>
  <c r="J86" i="1"/>
  <c r="H86" i="1"/>
  <c r="F86" i="1"/>
  <c r="B86" i="1"/>
  <c r="O85" i="1"/>
  <c r="N85" i="1"/>
  <c r="L85" i="1"/>
  <c r="J85" i="1"/>
  <c r="H85" i="1"/>
  <c r="F85" i="1"/>
  <c r="B85" i="1"/>
  <c r="O84" i="1"/>
  <c r="N84" i="1"/>
  <c r="L84" i="1"/>
  <c r="J84" i="1"/>
  <c r="H84" i="1"/>
  <c r="F84" i="1"/>
  <c r="B84" i="1"/>
  <c r="O83" i="1"/>
  <c r="N83" i="1"/>
  <c r="L83" i="1"/>
  <c r="J83" i="1"/>
  <c r="H83" i="1"/>
  <c r="F83" i="1"/>
  <c r="B83" i="1"/>
  <c r="O82" i="1"/>
  <c r="N82" i="1"/>
  <c r="L82" i="1"/>
  <c r="J82" i="1"/>
  <c r="H82" i="1"/>
  <c r="F82" i="1"/>
  <c r="B82" i="1"/>
  <c r="O81" i="1"/>
  <c r="N81" i="1"/>
  <c r="L81" i="1"/>
  <c r="J81" i="1"/>
  <c r="H81" i="1"/>
  <c r="F81" i="1"/>
  <c r="B81" i="1"/>
  <c r="O80" i="1"/>
  <c r="N80" i="1"/>
  <c r="L80" i="1"/>
  <c r="J80" i="1"/>
  <c r="H80" i="1"/>
  <c r="F80" i="1"/>
  <c r="B80" i="1"/>
  <c r="O79" i="1"/>
  <c r="N79" i="1"/>
  <c r="L79" i="1"/>
  <c r="J79" i="1"/>
  <c r="H79" i="1"/>
  <c r="F79" i="1"/>
  <c r="B79" i="1"/>
  <c r="O78" i="1"/>
  <c r="N78" i="1"/>
  <c r="L78" i="1"/>
  <c r="J78" i="1"/>
  <c r="H78" i="1"/>
  <c r="F78" i="1"/>
  <c r="B78" i="1"/>
  <c r="O77" i="1"/>
  <c r="N77" i="1"/>
  <c r="L77" i="1"/>
  <c r="J77" i="1"/>
  <c r="H77" i="1"/>
  <c r="F77" i="1"/>
  <c r="B77" i="1"/>
  <c r="O76" i="1"/>
  <c r="N76" i="1"/>
  <c r="L76" i="1"/>
  <c r="J76" i="1"/>
  <c r="H76" i="1"/>
  <c r="F76" i="1"/>
  <c r="B76" i="1"/>
  <c r="O75" i="1"/>
  <c r="N75" i="1"/>
  <c r="L75" i="1"/>
  <c r="J75" i="1"/>
  <c r="H75" i="1"/>
  <c r="F75" i="1"/>
  <c r="B75" i="1"/>
  <c r="O74" i="1"/>
  <c r="N74" i="1"/>
  <c r="L74" i="1"/>
  <c r="J74" i="1"/>
  <c r="H74" i="1"/>
  <c r="F74" i="1"/>
  <c r="B74" i="1"/>
  <c r="O73" i="1"/>
  <c r="N73" i="1"/>
  <c r="L73" i="1"/>
  <c r="J73" i="1"/>
  <c r="H73" i="1"/>
  <c r="F73" i="1"/>
  <c r="B73" i="1"/>
  <c r="O72" i="1"/>
  <c r="N72" i="1"/>
  <c r="L72" i="1"/>
  <c r="J72" i="1"/>
  <c r="H72" i="1"/>
  <c r="F72" i="1"/>
  <c r="B72" i="1"/>
  <c r="O71" i="1"/>
  <c r="N71" i="1"/>
  <c r="L71" i="1"/>
  <c r="J71" i="1"/>
  <c r="H71" i="1"/>
  <c r="F71" i="1"/>
  <c r="B71" i="1"/>
  <c r="O70" i="1"/>
  <c r="N70" i="1"/>
  <c r="L70" i="1"/>
  <c r="J70" i="1"/>
  <c r="H70" i="1"/>
  <c r="F70" i="1"/>
  <c r="B70" i="1"/>
  <c r="O69" i="1"/>
  <c r="N69" i="1"/>
  <c r="L69" i="1"/>
  <c r="J69" i="1"/>
  <c r="H69" i="1"/>
  <c r="F69" i="1"/>
  <c r="B69" i="1"/>
  <c r="O68" i="1"/>
  <c r="N68" i="1"/>
  <c r="L68" i="1"/>
  <c r="J68" i="1"/>
  <c r="H68" i="1"/>
  <c r="F68" i="1"/>
  <c r="B68" i="1"/>
  <c r="O67" i="1"/>
  <c r="N67" i="1"/>
  <c r="L67" i="1"/>
  <c r="J67" i="1"/>
  <c r="H67" i="1"/>
  <c r="F67" i="1"/>
  <c r="B67" i="1"/>
  <c r="O66" i="1"/>
  <c r="N66" i="1"/>
  <c r="L66" i="1"/>
  <c r="J66" i="1"/>
  <c r="H66" i="1"/>
  <c r="F66" i="1"/>
  <c r="B66" i="1"/>
  <c r="O65" i="1"/>
  <c r="N65" i="1"/>
  <c r="L65" i="1"/>
  <c r="J65" i="1"/>
  <c r="H65" i="1"/>
  <c r="F65" i="1"/>
  <c r="B65" i="1"/>
  <c r="O64" i="1"/>
  <c r="N64" i="1"/>
  <c r="L64" i="1"/>
  <c r="J64" i="1"/>
  <c r="H64" i="1"/>
  <c r="F64" i="1"/>
  <c r="B64" i="1"/>
  <c r="O63" i="1"/>
  <c r="N63" i="1"/>
  <c r="L63" i="1"/>
  <c r="J63" i="1"/>
  <c r="H63" i="1"/>
  <c r="F63" i="1"/>
  <c r="B63" i="1"/>
  <c r="O62" i="1"/>
  <c r="N62" i="1"/>
  <c r="L62" i="1"/>
  <c r="J62" i="1"/>
  <c r="H62" i="1"/>
  <c r="F62" i="1"/>
  <c r="B62" i="1"/>
  <c r="O61" i="1"/>
  <c r="N61" i="1"/>
  <c r="L61" i="1"/>
  <c r="J61" i="1"/>
  <c r="H61" i="1"/>
  <c r="F61" i="1"/>
  <c r="B61" i="1"/>
  <c r="O60" i="1"/>
  <c r="N60" i="1"/>
  <c r="L60" i="1"/>
  <c r="J60" i="1"/>
  <c r="H60" i="1"/>
  <c r="F60" i="1"/>
  <c r="B60" i="1"/>
  <c r="O59" i="1"/>
  <c r="N59" i="1"/>
  <c r="L59" i="1"/>
  <c r="J59" i="1"/>
  <c r="H59" i="1"/>
  <c r="F59" i="1"/>
  <c r="B59" i="1"/>
  <c r="O58" i="1"/>
  <c r="N58" i="1"/>
  <c r="L58" i="1"/>
  <c r="J58" i="1"/>
  <c r="H58" i="1"/>
  <c r="F58" i="1"/>
  <c r="B58" i="1"/>
  <c r="O57" i="1"/>
  <c r="N57" i="1"/>
  <c r="L57" i="1"/>
  <c r="J57" i="1"/>
  <c r="H57" i="1"/>
  <c r="F57" i="1"/>
  <c r="B57" i="1"/>
  <c r="O56" i="1"/>
  <c r="N56" i="1"/>
  <c r="L56" i="1"/>
  <c r="J56" i="1"/>
  <c r="H56" i="1"/>
  <c r="F56" i="1"/>
  <c r="B56" i="1"/>
  <c r="O55" i="1"/>
  <c r="N55" i="1"/>
  <c r="L55" i="1"/>
  <c r="J55" i="1"/>
  <c r="H55" i="1"/>
  <c r="F55" i="1"/>
  <c r="B55" i="1"/>
  <c r="O54" i="1"/>
  <c r="N54" i="1"/>
  <c r="L54" i="1"/>
  <c r="J54" i="1"/>
  <c r="H54" i="1"/>
  <c r="F54" i="1"/>
  <c r="B54" i="1"/>
  <c r="O53" i="1"/>
  <c r="N53" i="1"/>
  <c r="L53" i="1"/>
  <c r="J53" i="1"/>
  <c r="H53" i="1"/>
  <c r="F53" i="1"/>
  <c r="B53" i="1"/>
  <c r="O52" i="1"/>
  <c r="N52" i="1"/>
  <c r="L52" i="1"/>
  <c r="J52" i="1"/>
  <c r="H52" i="1"/>
  <c r="F52" i="1"/>
  <c r="B52" i="1"/>
  <c r="O51" i="1"/>
  <c r="N51" i="1"/>
  <c r="L51" i="1"/>
  <c r="J51" i="1"/>
  <c r="H51" i="1"/>
  <c r="F51" i="1"/>
  <c r="B51" i="1"/>
  <c r="O50" i="1"/>
  <c r="N50" i="1"/>
  <c r="L50" i="1"/>
  <c r="J50" i="1"/>
  <c r="H50" i="1"/>
  <c r="F50" i="1"/>
  <c r="B50" i="1"/>
  <c r="O49" i="1"/>
  <c r="N49" i="1"/>
  <c r="L49" i="1"/>
  <c r="J49" i="1"/>
  <c r="H49" i="1"/>
  <c r="F49" i="1"/>
  <c r="B49" i="1"/>
  <c r="O48" i="1"/>
  <c r="N48" i="1"/>
  <c r="L48" i="1"/>
  <c r="J48" i="1"/>
  <c r="H48" i="1"/>
  <c r="F48" i="1"/>
  <c r="B48" i="1"/>
  <c r="O47" i="1"/>
  <c r="N47" i="1"/>
  <c r="L47" i="1"/>
  <c r="J47" i="1"/>
  <c r="H47" i="1"/>
  <c r="F47" i="1"/>
  <c r="B47" i="1"/>
  <c r="O46" i="1"/>
  <c r="N46" i="1"/>
  <c r="L46" i="1"/>
  <c r="J46" i="1"/>
  <c r="H46" i="1"/>
  <c r="F46" i="1"/>
  <c r="B46" i="1"/>
  <c r="O45" i="1"/>
  <c r="N45" i="1"/>
  <c r="L45" i="1"/>
  <c r="J45" i="1"/>
  <c r="H45" i="1"/>
  <c r="F45" i="1"/>
  <c r="B45" i="1"/>
  <c r="O44" i="1"/>
  <c r="N44" i="1"/>
  <c r="L44" i="1"/>
  <c r="J44" i="1"/>
  <c r="H44" i="1"/>
  <c r="F44" i="1"/>
  <c r="B44" i="1"/>
  <c r="O43" i="1"/>
  <c r="N43" i="1"/>
  <c r="L43" i="1"/>
  <c r="J43" i="1"/>
  <c r="H43" i="1"/>
  <c r="F43" i="1"/>
  <c r="B43" i="1"/>
  <c r="O42" i="1"/>
  <c r="N42" i="1"/>
  <c r="L42" i="1"/>
  <c r="J42" i="1"/>
  <c r="H42" i="1"/>
  <c r="F42" i="1"/>
  <c r="B42" i="1"/>
  <c r="O41" i="1"/>
  <c r="N41" i="1"/>
  <c r="L41" i="1"/>
  <c r="J41" i="1"/>
  <c r="H41" i="1"/>
  <c r="F41" i="1"/>
  <c r="B41" i="1"/>
  <c r="O40" i="1"/>
  <c r="N40" i="1"/>
  <c r="L40" i="1"/>
  <c r="J40" i="1"/>
  <c r="H40" i="1"/>
  <c r="F40" i="1"/>
  <c r="B40" i="1"/>
  <c r="O39" i="1"/>
  <c r="N39" i="1"/>
  <c r="L39" i="1"/>
  <c r="J39" i="1"/>
  <c r="H39" i="1"/>
  <c r="F39" i="1"/>
  <c r="B39" i="1"/>
  <c r="O38" i="1"/>
  <c r="N38" i="1"/>
  <c r="L38" i="1"/>
  <c r="J38" i="1"/>
  <c r="H38" i="1"/>
  <c r="F38" i="1"/>
  <c r="B38" i="1"/>
  <c r="O37" i="1"/>
  <c r="N37" i="1"/>
  <c r="L37" i="1"/>
  <c r="J37" i="1"/>
  <c r="H37" i="1"/>
  <c r="F37" i="1"/>
  <c r="B37" i="1"/>
  <c r="O36" i="1"/>
  <c r="N36" i="1"/>
  <c r="L36" i="1"/>
  <c r="J36" i="1"/>
  <c r="H36" i="1"/>
  <c r="F36" i="1"/>
  <c r="B36" i="1"/>
  <c r="O35" i="1"/>
  <c r="N35" i="1"/>
  <c r="L35" i="1"/>
  <c r="J35" i="1"/>
  <c r="H35" i="1"/>
  <c r="F35" i="1"/>
  <c r="B35" i="1"/>
  <c r="O34" i="1"/>
  <c r="N34" i="1"/>
  <c r="L34" i="1"/>
  <c r="J34" i="1"/>
  <c r="H34" i="1"/>
  <c r="F34" i="1"/>
  <c r="B34" i="1"/>
  <c r="O33" i="1"/>
  <c r="N33" i="1"/>
  <c r="L33" i="1"/>
  <c r="J33" i="1"/>
  <c r="H33" i="1"/>
  <c r="F33" i="1"/>
  <c r="B33" i="1"/>
  <c r="O32" i="1"/>
  <c r="N32" i="1"/>
  <c r="L32" i="1"/>
  <c r="J32" i="1"/>
  <c r="H32" i="1"/>
  <c r="F32" i="1"/>
  <c r="B32" i="1"/>
  <c r="O31" i="1"/>
  <c r="N31" i="1"/>
  <c r="L31" i="1"/>
  <c r="J31" i="1"/>
  <c r="H31" i="1"/>
  <c r="F31" i="1"/>
  <c r="B31" i="1"/>
  <c r="O30" i="1"/>
  <c r="N30" i="1"/>
  <c r="L30" i="1"/>
  <c r="J30" i="1"/>
  <c r="H30" i="1"/>
  <c r="F30" i="1"/>
  <c r="B30" i="1"/>
  <c r="O29" i="1"/>
  <c r="N29" i="1"/>
  <c r="L29" i="1"/>
  <c r="J29" i="1"/>
  <c r="H29" i="1"/>
  <c r="F29" i="1"/>
  <c r="B29" i="1"/>
  <c r="O28" i="1"/>
  <c r="N28" i="1"/>
  <c r="L28" i="1"/>
  <c r="J28" i="1"/>
  <c r="H28" i="1"/>
  <c r="F28" i="1"/>
  <c r="B28" i="1"/>
  <c r="O27" i="1"/>
  <c r="N27" i="1"/>
  <c r="L27" i="1"/>
  <c r="J27" i="1"/>
  <c r="H27" i="1"/>
  <c r="F27" i="1"/>
  <c r="B27" i="1"/>
  <c r="O26" i="1"/>
  <c r="N26" i="1"/>
  <c r="L26" i="1"/>
  <c r="J26" i="1"/>
  <c r="H26" i="1"/>
  <c r="F26" i="1"/>
  <c r="B26" i="1"/>
  <c r="O25" i="1"/>
  <c r="N25" i="1"/>
  <c r="L25" i="1"/>
  <c r="J25" i="1"/>
  <c r="H25" i="1"/>
  <c r="F25" i="1"/>
  <c r="B25" i="1"/>
  <c r="O24" i="1"/>
  <c r="N24" i="1"/>
  <c r="L24" i="1"/>
  <c r="J24" i="1"/>
  <c r="H24" i="1"/>
  <c r="F24" i="1"/>
  <c r="B24" i="1"/>
  <c r="O23" i="1"/>
  <c r="N23" i="1"/>
  <c r="L23" i="1"/>
  <c r="J23" i="1"/>
  <c r="H23" i="1"/>
  <c r="F23" i="1"/>
  <c r="B23" i="1"/>
  <c r="O22" i="1"/>
  <c r="N22" i="1"/>
  <c r="L22" i="1"/>
  <c r="J22" i="1"/>
  <c r="H22" i="1"/>
  <c r="F22" i="1"/>
  <c r="B22" i="1"/>
  <c r="O21" i="1"/>
  <c r="N21" i="1"/>
  <c r="L21" i="1"/>
  <c r="J21" i="1"/>
  <c r="H21" i="1"/>
  <c r="F21" i="1"/>
  <c r="B21" i="1"/>
  <c r="O20" i="1"/>
  <c r="N20" i="1"/>
  <c r="L20" i="1"/>
  <c r="J20" i="1"/>
  <c r="H20" i="1"/>
  <c r="F20" i="1"/>
  <c r="B20" i="1"/>
  <c r="O19" i="1"/>
  <c r="N19" i="1"/>
  <c r="L19" i="1"/>
  <c r="J19" i="1"/>
  <c r="H19" i="1"/>
  <c r="F19" i="1"/>
  <c r="B19" i="1"/>
  <c r="O18" i="1"/>
  <c r="N18" i="1"/>
  <c r="L18" i="1"/>
  <c r="J18" i="1"/>
  <c r="H18" i="1"/>
  <c r="F18" i="1"/>
  <c r="B18" i="1"/>
  <c r="O17" i="1"/>
  <c r="N17" i="1"/>
  <c r="L17" i="1"/>
  <c r="J17" i="1"/>
  <c r="H17" i="1"/>
  <c r="F17" i="1"/>
  <c r="B17" i="1"/>
  <c r="O16" i="1"/>
  <c r="N16" i="1"/>
  <c r="L16" i="1"/>
  <c r="J16" i="1"/>
  <c r="H16" i="1"/>
  <c r="F16" i="1"/>
  <c r="B16" i="1"/>
  <c r="O15" i="1"/>
  <c r="N15" i="1"/>
  <c r="L15" i="1"/>
  <c r="J15" i="1"/>
  <c r="H15" i="1"/>
  <c r="F15" i="1"/>
  <c r="B15" i="1"/>
  <c r="O14" i="1"/>
  <c r="N14" i="1"/>
  <c r="L14" i="1"/>
  <c r="J14" i="1"/>
  <c r="H14" i="1"/>
  <c r="F14" i="1"/>
  <c r="B14" i="1"/>
  <c r="O13" i="1"/>
  <c r="N13" i="1"/>
  <c r="L13" i="1"/>
  <c r="J13" i="1"/>
  <c r="H13" i="1"/>
  <c r="F13" i="1"/>
  <c r="B13" i="1"/>
  <c r="O12" i="1"/>
  <c r="N12" i="1"/>
  <c r="L12" i="1"/>
  <c r="J12" i="1"/>
  <c r="H12" i="1"/>
  <c r="F12" i="1"/>
  <c r="B12" i="1"/>
  <c r="O11" i="1"/>
  <c r="N11" i="1"/>
  <c r="L11" i="1"/>
  <c r="J11" i="1"/>
  <c r="H11" i="1"/>
  <c r="F11" i="1"/>
  <c r="B11" i="1"/>
  <c r="O10" i="1"/>
  <c r="N10" i="1"/>
  <c r="L10" i="1"/>
  <c r="J10" i="1"/>
  <c r="H10" i="1"/>
  <c r="F10" i="1"/>
  <c r="B10" i="1"/>
  <c r="O9" i="1"/>
  <c r="N9" i="1"/>
  <c r="L9" i="1"/>
  <c r="J9" i="1"/>
  <c r="H9" i="1"/>
  <c r="F9" i="1"/>
  <c r="B9" i="1"/>
</calcChain>
</file>

<file path=xl/sharedStrings.xml><?xml version="1.0" encoding="utf-8"?>
<sst xmlns="http://schemas.openxmlformats.org/spreadsheetml/2006/main" count="1613" uniqueCount="424">
  <si>
    <t>ICT 2nd Year - 1st Semester - 2025</t>
  </si>
  <si>
    <t>إسم المادة</t>
  </si>
  <si>
    <t>Linux Essentials</t>
  </si>
  <si>
    <t>تقديرات الجدارات</t>
  </si>
  <si>
    <t>AB</t>
  </si>
  <si>
    <t>Absent</t>
  </si>
  <si>
    <t>NA</t>
  </si>
  <si>
    <t>Not Achieved</t>
  </si>
  <si>
    <t>P</t>
  </si>
  <si>
    <t>Pass</t>
  </si>
  <si>
    <t>عدد الساعات المعتمدة</t>
  </si>
  <si>
    <t>M</t>
  </si>
  <si>
    <t>Merit</t>
  </si>
  <si>
    <t>القيمة العظمى للدرجات</t>
  </si>
  <si>
    <t>D</t>
  </si>
  <si>
    <t>Distinct</t>
  </si>
  <si>
    <t>م</t>
  </si>
  <si>
    <t>اسم الطالب</t>
  </si>
  <si>
    <t>Assignemnt 1</t>
  </si>
  <si>
    <t>%</t>
  </si>
  <si>
    <t xml:space="preserve">Max </t>
  </si>
  <si>
    <t>منتصف الفصل
30</t>
  </si>
  <si>
    <t>Assignemnt 2</t>
  </si>
  <si>
    <t>Assignment 2
45</t>
  </si>
  <si>
    <t>Activities
30</t>
  </si>
  <si>
    <t>أعمال السنة
75</t>
  </si>
  <si>
    <t>Total</t>
  </si>
  <si>
    <t>LO1</t>
  </si>
  <si>
    <t>LO2</t>
  </si>
  <si>
    <t>LO3</t>
  </si>
  <si>
    <t>ابانوب ناصر اسكندر جورجى</t>
  </si>
  <si>
    <t>ابراهيم السعيد رمضان محمود العادلى</t>
  </si>
  <si>
    <t>ابراهيم ماهر ابراهيم العدوى مصطفى</t>
  </si>
  <si>
    <t>احمد ابراهيم عبد الجواد ابراهيم</t>
  </si>
  <si>
    <t>احمد جمال محمد محى الدين محمد</t>
  </si>
  <si>
    <t>احمد حلمي محمد زكي عبدالرحمن</t>
  </si>
  <si>
    <t>احمد خالد السيد حسن</t>
  </si>
  <si>
    <t xml:space="preserve">احمد سمير عبدالرحمن محمد </t>
  </si>
  <si>
    <t>احمد سيد احمد السيد</t>
  </si>
  <si>
    <t>احمد سيد عبده محمد ابراهيم</t>
  </si>
  <si>
    <t>احمد شعبان سيد حسين جمعة</t>
  </si>
  <si>
    <t>احمد عادل فرج فرج</t>
  </si>
  <si>
    <t>احمد عبدالعاطي حسن محمد عبده</t>
  </si>
  <si>
    <t>احمد عبد المنعم ابراهيم محمد شحاته</t>
  </si>
  <si>
    <t>احمد على احمد على عثمان</t>
  </si>
  <si>
    <t>احمد على جاد على محمد</t>
  </si>
  <si>
    <t>احمد عويس قرنى عبدالهادى</t>
  </si>
  <si>
    <t>احمد ماهر الزعفراني حنفي الاغا</t>
  </si>
  <si>
    <t>احمد محمد احمد محارب رضوان</t>
  </si>
  <si>
    <t>احمد محمد احمد محمد عامر</t>
  </si>
  <si>
    <t>احمد محمد حسن محمد</t>
  </si>
  <si>
    <t>احمد محمد سيد على محمد</t>
  </si>
  <si>
    <t>احمد محمد محمد محمد عرفة</t>
  </si>
  <si>
    <t>احمد محمد محمود عبدالرحمن محمود</t>
  </si>
  <si>
    <t>احمد وليد حلمي محمود</t>
  </si>
  <si>
    <t>احمد وليد محمد السيد محمد</t>
  </si>
  <si>
    <t>ادم احمد شوقى محمد</t>
  </si>
  <si>
    <t>ادهم حاتم محمد عبد الفتاح</t>
  </si>
  <si>
    <t>ادهم عبد السميع محمود على</t>
  </si>
  <si>
    <t>اسلام شريف عبد المنعم</t>
  </si>
  <si>
    <t>اسلام محمد سيد محمد حسانين</t>
  </si>
  <si>
    <t>اشرف ابراهيم محمد ابراهيم</t>
  </si>
  <si>
    <t>الاء ابراهيم الدسوقى نصر منصور</t>
  </si>
  <si>
    <t>الاء اسماعيل محمد سامى اسماعيل عمر</t>
  </si>
  <si>
    <t>الاء حسن محمد محمد شحاتة</t>
  </si>
  <si>
    <t>الاء شريف عطيه مدكور</t>
  </si>
  <si>
    <t>آلاء مصطفى عبد السلام محمد سالم</t>
  </si>
  <si>
    <t>السيد أحمد السيد محمود</t>
  </si>
  <si>
    <t>امل منير فوزى عزمى زخارى</t>
  </si>
  <si>
    <t>امير احمد احمد عوض</t>
  </si>
  <si>
    <t>امير خالد عبدالرحيم امير</t>
  </si>
  <si>
    <t>امير طلعت السيد محمد زكى بركات</t>
  </si>
  <si>
    <t>امير مسعد جودة سلامة حسن</t>
  </si>
  <si>
    <t>انجي اشرف حسن محمد</t>
  </si>
  <si>
    <t>اندراوس ميلاد اندراوس فرج</t>
  </si>
  <si>
    <t>انس محمد حنفى محمد حسن</t>
  </si>
  <si>
    <t>اياد احمد علي جعفر</t>
  </si>
  <si>
    <t>ايمى سعيد رياض سعيد يوسف</t>
  </si>
  <si>
    <t>ايناس عبد القادر متولى عبد التواب</t>
  </si>
  <si>
    <t>بافلي عماد بولس اندروس</t>
  </si>
  <si>
    <t>بدر رضا محمد سعيد زايد</t>
  </si>
  <si>
    <t>بسمله علاء الدين سعد فتح الله</t>
  </si>
  <si>
    <t>بسمله عمرو محمد عيد</t>
  </si>
  <si>
    <t>بسمله مجدى احمد فتحى إبراهيم العسال</t>
  </si>
  <si>
    <t>بسمله محمد احمد عبد الرحيم</t>
  </si>
  <si>
    <t>تغريد عزت السنوسى ابوالعنين الجوهرى</t>
  </si>
  <si>
    <t>تقى حسام السيد عبد الغني الاشهب</t>
  </si>
  <si>
    <t>تقى خالد حجازى سيد محمد</t>
  </si>
  <si>
    <t>ثروت منصان عطيه على مبروك عبدالله</t>
  </si>
  <si>
    <t>جاسر احمد عبد القادر محمد سالم</t>
  </si>
  <si>
    <t>جمال محمد انور محمد العشيرى</t>
  </si>
  <si>
    <t>جمال محمود جمال علي</t>
  </si>
  <si>
    <t>جنه حسام على محمد</t>
  </si>
  <si>
    <t>جنى احمد صلاح احمد</t>
  </si>
  <si>
    <t>جني محمد سعيد محمد احمد</t>
  </si>
  <si>
    <t>حازم حماده عبد اللطيف عماره علي</t>
  </si>
  <si>
    <t>حازم محمد ابراهيم الشحات</t>
  </si>
  <si>
    <t>حبيبة مصطفى الشمندى</t>
  </si>
  <si>
    <t>حبيبه محمد عبد الله ابراهيم</t>
  </si>
  <si>
    <t>حبيبه محمد مصطفى كمال حسن</t>
  </si>
  <si>
    <t>حسام احمد عبد الفتاح ابراهيم محمد</t>
  </si>
  <si>
    <t>حسن محمود كامل السعيد</t>
  </si>
  <si>
    <t>حسين محمدعطا أحمد خليفه</t>
  </si>
  <si>
    <t>حسين محمود حسين محمود مسعود</t>
  </si>
  <si>
    <t>حمزة هانى احمد ابو القاسم</t>
  </si>
  <si>
    <t>حنان ملاك فوزي زكي</t>
  </si>
  <si>
    <t>خالد عمرو محمد سلامة خليفة</t>
  </si>
  <si>
    <t>خلود اسامه محمد عباس هلال متولى</t>
  </si>
  <si>
    <t>داليا احمد على محمد</t>
  </si>
  <si>
    <t>داليا حسن رشدى احمد عبدالواحد</t>
  </si>
  <si>
    <t>داليا عادل فتحي محمد</t>
  </si>
  <si>
    <t>دانيال مراد ثابت ابوالدهب مسعد</t>
  </si>
  <si>
    <t>دعاء سعيد فرج عطيه</t>
  </si>
  <si>
    <t>دنيا خالد عبد الرحمن السيد مصطفى</t>
  </si>
  <si>
    <t>رضوى سالم محمد محمود محمد</t>
  </si>
  <si>
    <t>رضوى ممدوح جمعه احمد عيد</t>
  </si>
  <si>
    <t>رنا فتحى محمود محمد جعفر</t>
  </si>
  <si>
    <t>روان عبدالباسط السيد عبداللطيف</t>
  </si>
  <si>
    <t>روان محمود حسن</t>
  </si>
  <si>
    <t>روماني علاء ساويرس</t>
  </si>
  <si>
    <t>روميساء سمير مصطفى محمد</t>
  </si>
  <si>
    <t>رؤى هشام فتحى مصطفى محمد</t>
  </si>
  <si>
    <t>ريم أحمد درويش مصطفى</t>
  </si>
  <si>
    <t>زياد احمد سعد علي علي</t>
  </si>
  <si>
    <t>زياد أحمد سمير عبده</t>
  </si>
  <si>
    <t>زياد احمد عاطف حامد</t>
  </si>
  <si>
    <t>زياد حمدى عبد العزيز احمد محمد عثمان</t>
  </si>
  <si>
    <t>زياد سامح عبد الهادى سيد عبد الهادى</t>
  </si>
  <si>
    <t>زياد سليمان صلاح معوض سليمان</t>
  </si>
  <si>
    <t>زياد صوفى ربيع محمد السيد</t>
  </si>
  <si>
    <t>زياد عماد جابر كامل عبد التواب</t>
  </si>
  <si>
    <t>زياد فريد شوقى خليفه خليل</t>
  </si>
  <si>
    <t>زياد نادر محمد السيد عثمان</t>
  </si>
  <si>
    <t>زياد هيمن صابر محمد يونس</t>
  </si>
  <si>
    <t>زينب حسين ابراهيم مصطفى</t>
  </si>
  <si>
    <t>سارة عصام عبدالحميد حسين</t>
  </si>
  <si>
    <t>سارة محمد سيد عيد عثمان</t>
  </si>
  <si>
    <t>سالم رمضان حسين مصطفى محمود</t>
  </si>
  <si>
    <t>سالى محمد محسن محمد امين</t>
  </si>
  <si>
    <t>سامح محمد ابراهيم حسن</t>
  </si>
  <si>
    <t>ستيف امجد وحيد خليل</t>
  </si>
  <si>
    <t>ستيفن سامح بشري بدري</t>
  </si>
  <si>
    <t>سعد وائل سعد ابراهيم</t>
  </si>
  <si>
    <t>سلمى سيد سيد امام عبدالعال</t>
  </si>
  <si>
    <t>سلمى ناجي عبدالمطلب احمد ضلام</t>
  </si>
  <si>
    <t>سما حاتم حسن على محمد</t>
  </si>
  <si>
    <t>سما رضا أحمد عبد المنعم عبد الفتاح</t>
  </si>
  <si>
    <t>سمية أحمد عبد العزيز اسماعيل</t>
  </si>
  <si>
    <t>سندس سالم مجمد سالم</t>
  </si>
  <si>
    <t>سندس مجدى احمد مصطفى على</t>
  </si>
  <si>
    <t>سهيل السعيد بدير عمر الاخضر</t>
  </si>
  <si>
    <t>سهيلة مصطفي محمد مصطفي العشماوى</t>
  </si>
  <si>
    <t>سيد ابراهيم سيد احمد</t>
  </si>
  <si>
    <t>سيد اشرف سيد عبد السلام الوكيل</t>
  </si>
  <si>
    <t>سيف احمد محمد منصور</t>
  </si>
  <si>
    <t>سيف الله غريب محمد محمد ابوزيد</t>
  </si>
  <si>
    <t>سيف هشام مصطفى ياسين احمد</t>
  </si>
  <si>
    <t>شروق حسن البنا محمدي</t>
  </si>
  <si>
    <t>شهد حسنى عبدالعزيز جاد الله</t>
  </si>
  <si>
    <t>شهد خالد احمد عبدالموجود</t>
  </si>
  <si>
    <t>شهد خالد سعيد فرحات</t>
  </si>
  <si>
    <t>شهد رضا سعد عيسى</t>
  </si>
  <si>
    <t>شهد علاء الدين طه رزيق احمد</t>
  </si>
  <si>
    <t>شهد محمود عمار محمد  محمد</t>
  </si>
  <si>
    <t>شيماء شاذلى على محمد</t>
  </si>
  <si>
    <t>شيماء مصطفى محمد عبدالحفيظ</t>
  </si>
  <si>
    <t>ضحي خالد عبد الغني امين</t>
  </si>
  <si>
    <t>طارق نشات عبد المغني السيد بدر</t>
  </si>
  <si>
    <t>عادل أشرف انور عبدالعزيز علي</t>
  </si>
  <si>
    <t>عبد الحميد خالد حسب الله محمد  الحنبلي</t>
  </si>
  <si>
    <t>عبد الرحمن احمد ابراهيم محمد دياب</t>
  </si>
  <si>
    <t>عبدالرحمن احمد صبحي كامل</t>
  </si>
  <si>
    <t>عبد الرحمن احمد عباس سيد مرسي</t>
  </si>
  <si>
    <t>عبد الرحمن احمد عبدالله عبدالله السيد</t>
  </si>
  <si>
    <t>عبد الرحمن ايهاب محمود احمد</t>
  </si>
  <si>
    <t>عبد الرحمن حسن فوزى احمد</t>
  </si>
  <si>
    <t>عبد الرحمن شريف عباس محمد</t>
  </si>
  <si>
    <t>عبد الرحمن شريف عثمان علي حلمي عثمان</t>
  </si>
  <si>
    <t>عبد الرحمن فريد شوقى حسن سليمان</t>
  </si>
  <si>
    <t>عبد الرحمن محمود عبد النبي محمود</t>
  </si>
  <si>
    <t>عبد الرحمن مصطفى النوبى حسان</t>
  </si>
  <si>
    <t>عبد الرحمن معتز صلاح الدين محمد محمود</t>
  </si>
  <si>
    <t>عبدالرحمن وليد عبدالرحمن</t>
  </si>
  <si>
    <t>عبد العزيز حاتم يوسف ابو بكر يوسف</t>
  </si>
  <si>
    <t>عبد الله احمد علي حسنين مصطفى</t>
  </si>
  <si>
    <t>عبد الله السيد فوزى السيد</t>
  </si>
  <si>
    <t>عبد الله طه عبدالمولى احمد عبد الوهاب</t>
  </si>
  <si>
    <t>عبد الله محمد جمعه السيد</t>
  </si>
  <si>
    <t>عبدالمنعم محمد عبدالمنعم</t>
  </si>
  <si>
    <t>عبدالجليل سعيد عبدالجليل محمد شمخ حسين</t>
  </si>
  <si>
    <t>عبدالرحمن احمد عبدالستار عبد الرحمن</t>
  </si>
  <si>
    <t>عبدالرحمن احمد علي عبدالوارث</t>
  </si>
  <si>
    <t>عبدالرحمن على عبدالحميد على عبدالمنعم</t>
  </si>
  <si>
    <t>عبدالرحمن عماد عبدالفتاح عبدالرحمن</t>
  </si>
  <si>
    <t>عبدالرحمن محمد الانور محمد</t>
  </si>
  <si>
    <t>عبدالرحمن مصطفى صالح جاد</t>
  </si>
  <si>
    <t>عبدالفتاح اشرف عبدالفتاح حسن احمد</t>
  </si>
  <si>
    <t>عبدالله اشرف الصباحى محمد السيد</t>
  </si>
  <si>
    <t>على اشرف محمد فتحى عبد الحميد</t>
  </si>
  <si>
    <t>على محمد عبد الحميد احمد</t>
  </si>
  <si>
    <t>علي خالد محمد فاروق السعدني</t>
  </si>
  <si>
    <t>علي محمد عفيفي عرابي</t>
  </si>
  <si>
    <t>علي محمد علي خليل عبدالعال</t>
  </si>
  <si>
    <t>عمر احمد جلال الطيب</t>
  </si>
  <si>
    <t>عمر احمد حفناوي المندوه احمد ابو زيد</t>
  </si>
  <si>
    <t>عمر احمد سيد احمد</t>
  </si>
  <si>
    <t>عمر ايهاب كمال احمد</t>
  </si>
  <si>
    <t>عمر خالد محمود عبدالسميع</t>
  </si>
  <si>
    <t>عمر قدري دهب سليمان عبد المجيد</t>
  </si>
  <si>
    <t>عمر محمد علي حامد الحنفي</t>
  </si>
  <si>
    <t>عمر محمود احمد محمود يوسف</t>
  </si>
  <si>
    <t>عمر محمود عبدالله محمد صفوت</t>
  </si>
  <si>
    <t>عمر ياسر محمد ابراهيم خضر</t>
  </si>
  <si>
    <t>عمر ياسين حسين ابراهيم</t>
  </si>
  <si>
    <t>عمرو ايمن سعيد احمد عطيه</t>
  </si>
  <si>
    <t>عمرو سعيد محمد عبدالحميد امام</t>
  </si>
  <si>
    <t>عمرو عرفه عبد الرحمن رضوان عبد الرحمن</t>
  </si>
  <si>
    <t xml:space="preserve">عمرو محمود ابو زيد احمد </t>
  </si>
  <si>
    <t>فاطمه اشرف السيد عبداللاه</t>
  </si>
  <si>
    <t>فاطمه الزهراء السيد محمود مصيلحى</t>
  </si>
  <si>
    <t>فاطمه حسنين احمد حسنين</t>
  </si>
  <si>
    <t>فاطمه وحيد عبداالتواب محمد</t>
  </si>
  <si>
    <t>فرح محمود قاسم درويش عبدالعال</t>
  </si>
  <si>
    <t>فيروز محمد ابراهيم محمد احمد</t>
  </si>
  <si>
    <t>قمر احمد جوده عيسى</t>
  </si>
  <si>
    <t>كريم احمد عاطف الحايس</t>
  </si>
  <si>
    <t>كريم احمد فؤاد احمد</t>
  </si>
  <si>
    <t>كريم فادى عبد الله ابوالعينين</t>
  </si>
  <si>
    <t>كوثر ناصر محمد خليل خضر</t>
  </si>
  <si>
    <t>ليلى احمد جمعه عبد الصادق</t>
  </si>
  <si>
    <t>مازن سيد هليل محمود</t>
  </si>
  <si>
    <t>مازن محمد رشاد محمد احمد</t>
  </si>
  <si>
    <t>مازن مصطفى محمد مرزوق سند</t>
  </si>
  <si>
    <t>مجدي حمدي السيد بيومي</t>
  </si>
  <si>
    <t>محمد احمد السيد عبدالله الشوربجى</t>
  </si>
  <si>
    <t>محمد احمد الشافعى محمد</t>
  </si>
  <si>
    <t>محمد احمد تميم سند</t>
  </si>
  <si>
    <t>محمد احمد سعيد البكري محمد</t>
  </si>
  <si>
    <t>محمد احمد محمد احمد سيد احمد</t>
  </si>
  <si>
    <t>محمد اشرف محمد محمد مرسى</t>
  </si>
  <si>
    <t>محمد الشحات مندور احمد مندور</t>
  </si>
  <si>
    <t>محمد جمال عبدالمعبود قطب</t>
  </si>
  <si>
    <t>محمد جمال محمد محمود</t>
  </si>
  <si>
    <t>محمد خالد محمد السيد</t>
  </si>
  <si>
    <t>محمد خالد محمد عبد العزيز خليل</t>
  </si>
  <si>
    <t>محمد رجب سعيد عبداللطيف</t>
  </si>
  <si>
    <t>محمد رمضان حسين عبدالقادر</t>
  </si>
  <si>
    <t>محمد زين العابدين ابراهيم عبد الرحمن</t>
  </si>
  <si>
    <t>محمد سامح محمد سيد حسين</t>
  </si>
  <si>
    <t>محمد سيد حسن عبدالعظيم فرغلى</t>
  </si>
  <si>
    <t>محمد شعبان سلطان محمد</t>
  </si>
  <si>
    <t>محمد صالح عيد عوده</t>
  </si>
  <si>
    <t>محمد عادل محمد امام</t>
  </si>
  <si>
    <t>محمد عبدالغنى محمد عبدالغنى</t>
  </si>
  <si>
    <t>محمد عصام محمود صابر</t>
  </si>
  <si>
    <t>محمد علاء عبدالحميد محمد بكساوي</t>
  </si>
  <si>
    <t>محمد علاء فوزى الجميل ابوالمعاطى</t>
  </si>
  <si>
    <t>محمد عماد محمد محمد حسن</t>
  </si>
  <si>
    <t>محمد مجدى عبد الفتاح ابو طالب</t>
  </si>
  <si>
    <t>محمد محمد عبدالعزيز عبدالحافظ على</t>
  </si>
  <si>
    <t>محمد محمود كامل احمد</t>
  </si>
  <si>
    <t>محمد مرعى رحيم متولى حميده</t>
  </si>
  <si>
    <t>محمد مصطفى شحاته عبدالقادر</t>
  </si>
  <si>
    <t>محمد هرمس سعيد ريحان</t>
  </si>
  <si>
    <t>محمد هشام محمد ابراهيم عرنوس</t>
  </si>
  <si>
    <t>محمد وائل محمد عمر محمد</t>
  </si>
  <si>
    <t>محمد وليد محمد النبوى مغاورى محمد المتينى</t>
  </si>
  <si>
    <t>محمود ابراهيم محمد احمد على</t>
  </si>
  <si>
    <t xml:space="preserve">محمود تيمور محمود أحمد </t>
  </si>
  <si>
    <t>محمود سعد خليل عطيه صومع</t>
  </si>
  <si>
    <t>محمود عبدالقادر محمود نادى</t>
  </si>
  <si>
    <t>محمود علي أمين علي عثمان</t>
  </si>
  <si>
    <t>محمود على محمود على</t>
  </si>
  <si>
    <t>محمود محمد عبدالعزيز علي</t>
  </si>
  <si>
    <t>محمود مصطفى ابوالوفا محمد عبده</t>
  </si>
  <si>
    <t>محمود ناجي سعيد السيد مسلم</t>
  </si>
  <si>
    <t>محمود وائل محمود على محمود</t>
  </si>
  <si>
    <t>مروان محمد عجمى محمد</t>
  </si>
  <si>
    <t>مروان مصطفى رمضان مصطفى حامد</t>
  </si>
  <si>
    <t>مروه ايمن عاطف زين الدين</t>
  </si>
  <si>
    <t>مريم اسلام عبدالهادى محمد سعدالدين</t>
  </si>
  <si>
    <t>مريم صلاح منصف محمد مرسال</t>
  </si>
  <si>
    <t>مريم عمرو حسن عبد الباسط</t>
  </si>
  <si>
    <t>مريم محمد احمد اسماعيل</t>
  </si>
  <si>
    <t>مريم محمد سليمان عبد الظاهر</t>
  </si>
  <si>
    <t>مريم محمد سليمان عواد</t>
  </si>
  <si>
    <t>مريم محمد فوزى ثابت احمد</t>
  </si>
  <si>
    <t>مريم محمد يوسف محمود</t>
  </si>
  <si>
    <t>مريم محمود فتح الله عبد السلام عبدالبارى</t>
  </si>
  <si>
    <t>مريم هنى نصحى ابراهيم يونان</t>
  </si>
  <si>
    <t>مصطفى احمد محمد سعد ابو دقه</t>
  </si>
  <si>
    <t>مصطفى عادل مصطفى اسماعيل</t>
  </si>
  <si>
    <t>مصطفى على محمود محمد حافظ</t>
  </si>
  <si>
    <t>مصطفى محمد احمد حسن فرغلى</t>
  </si>
  <si>
    <t>مصطفى محمد مصطفى السيدعوض الله</t>
  </si>
  <si>
    <t>مصطفي احمد ابراهيم سالم</t>
  </si>
  <si>
    <t>مصطفي حاتم محمد احمد السيد</t>
  </si>
  <si>
    <t>مصطفي خالد نصر عبد الله جاب الله</t>
  </si>
  <si>
    <t>مصطفي ماهر عبدالبديع سلامه سلامه</t>
  </si>
  <si>
    <t>معاذ احمد غريب عبد اللطيف محمود</t>
  </si>
  <si>
    <t>معاذ حسن سعد حسن البلاصى</t>
  </si>
  <si>
    <t>معتز محمد عبدالعظيم عباس</t>
  </si>
  <si>
    <t>ملك احمد ضاحى طه</t>
  </si>
  <si>
    <t>ملك حامد محمد حسين</t>
  </si>
  <si>
    <t>ممدوح وائل ممدوح علي محمد</t>
  </si>
  <si>
    <t>منة الله على محمد محمد</t>
  </si>
  <si>
    <t>منه الله أحمد عبدالفتاح محمد حسين زايد</t>
  </si>
  <si>
    <t>منه الله صابر عبدالعاطي بشاري</t>
  </si>
  <si>
    <t>منه الله محمد حسن شعراوى</t>
  </si>
  <si>
    <t>منه رمضان سعد محمد السيد</t>
  </si>
  <si>
    <t>منه غريب محمود محمد على</t>
  </si>
  <si>
    <t>منى السيد فارس النجار</t>
  </si>
  <si>
    <t>منى محمد صالح محمد</t>
  </si>
  <si>
    <t>مهند سعد احمد محمد بيومى</t>
  </si>
  <si>
    <t>مؤمن محمد محمد محمد حموده</t>
  </si>
  <si>
    <t>مي إيهاب محمد عباس السيد</t>
  </si>
  <si>
    <t>مياده خالد محمود عبد اللطيف عبدالرازق</t>
  </si>
  <si>
    <t>ميار هشام عبدالرازق عبدالعظيم</t>
  </si>
  <si>
    <t>ميرنا يحى سعد بشير</t>
  </si>
  <si>
    <t>مينا سميح رؤوف كمال</t>
  </si>
  <si>
    <t>مينا ضياء سيف وهبى مسعد</t>
  </si>
  <si>
    <t>ندى احمد سعيد احمد محمد</t>
  </si>
  <si>
    <t>ندى سامى محمد مرسى</t>
  </si>
  <si>
    <t>ندى محمود محمد حسن</t>
  </si>
  <si>
    <t>نرمين احمد حمدى عبد العزيز سنبل</t>
  </si>
  <si>
    <t>نوال محمود محمد عطية</t>
  </si>
  <si>
    <t>نور احمد الماظ امين</t>
  </si>
  <si>
    <t>نور الدين كمال محمد عبد المنعم</t>
  </si>
  <si>
    <t>نور الهدى هشام البطايحى عيد</t>
  </si>
  <si>
    <t>نور تامر محمد عبد الفتاح حسن</t>
  </si>
  <si>
    <t>نور حسام الدين عباس محمد سليمان</t>
  </si>
  <si>
    <t>هاجر أحمد علي بدر بدير</t>
  </si>
  <si>
    <t>هاجر حنفى عيد حسين</t>
  </si>
  <si>
    <t>هاجر محمود يوسف يوسف عفيفي</t>
  </si>
  <si>
    <t>هبه هنداوى سعد ابراهيم</t>
  </si>
  <si>
    <t>هدي محمد عبد الفتاح غنيم سيد</t>
  </si>
  <si>
    <t>وصال محمد صلاح محمد</t>
  </si>
  <si>
    <t>ولاء محمود رجب محمد</t>
  </si>
  <si>
    <t>وليد محمد عبدالسلام محمد</t>
  </si>
  <si>
    <t>يارا عبدالرازق عبدالعظيم عبدالرازق</t>
  </si>
  <si>
    <t>ياسين احمد عبدالعظيم اسماعيل</t>
  </si>
  <si>
    <t>ياسين طارق محمد عبدالغني</t>
  </si>
  <si>
    <t>ياسين عبدالواحد محمد علي</t>
  </si>
  <si>
    <t>ياسين محمد سيد رشاد احمد</t>
  </si>
  <si>
    <t>يحى فراج المتولى محمد المتولى</t>
  </si>
  <si>
    <t>يحيى عصام يحيى عبد الرحمن</t>
  </si>
  <si>
    <t>يحيى هانى يحيى حسين</t>
  </si>
  <si>
    <t>يس محمد تحفه احمد</t>
  </si>
  <si>
    <t>يمنى حسن فتوح على سعد</t>
  </si>
  <si>
    <t>يوأنا ميلاد شكري حليم</t>
  </si>
  <si>
    <t>يوسف باسم محمد راشد</t>
  </si>
  <si>
    <t>يوسف جورج مفيد زكي ميخائيل</t>
  </si>
  <si>
    <t>يوسف حامد الفرماوى حسن</t>
  </si>
  <si>
    <t>يوسف حمدي سعد الدين عبد المعطى</t>
  </si>
  <si>
    <t>يوسف خالد محمود عبدالمقصود وهدان</t>
  </si>
  <si>
    <t>يوسف رمضان محى الدين محمد</t>
  </si>
  <si>
    <t>يوسف عصام محمد الصغير</t>
  </si>
  <si>
    <t>يوسف عمرو رجب محمد</t>
  </si>
  <si>
    <t>يوسف عيد رجب عبد المجيد الفوال</t>
  </si>
  <si>
    <t>يوسف كارم يوسف محمد حسن</t>
  </si>
  <si>
    <t>يوسف محمد اسماعيل علي حسن</t>
  </si>
  <si>
    <t>يوسف محمد السيد محمود</t>
  </si>
  <si>
    <t>يوسف محمد بهنسي علي النجار</t>
  </si>
  <si>
    <t>يوسف محمد حسين عبدالمؤمن</t>
  </si>
  <si>
    <t>يوسف محمد خليفة محمد احمد</t>
  </si>
  <si>
    <t>يوسف محمد فتحى رزق سلامه</t>
  </si>
  <si>
    <t>يوسف محمد مصطفي هاشم</t>
  </si>
  <si>
    <t>يوسف هاني السيد ابراهيم علي</t>
  </si>
  <si>
    <t>يوسف هاني محمد أحمد رخا</t>
  </si>
  <si>
    <t>يوسف ياسر احمد امين عفيفي</t>
  </si>
  <si>
    <t>ميريام الدردير محمد عبدالرحمن</t>
  </si>
  <si>
    <t>منى عبداللطيف عبدالباسط أحمد</t>
  </si>
  <si>
    <t>شروق سيد رجب علي</t>
  </si>
  <si>
    <t>محمد ياسر محمد عبدالوهاب</t>
  </si>
  <si>
    <t>يوسف محمد صديق محمود</t>
  </si>
  <si>
    <t xml:space="preserve">محمد حسن محمد </t>
  </si>
  <si>
    <t>مصطفى شاكر مصطفى صالح</t>
  </si>
  <si>
    <t>مصطفى محمود سيد أحمد سيد</t>
  </si>
  <si>
    <t>وسام حسونه جمعه ميرغني</t>
  </si>
  <si>
    <t>احمد ماهر الزعفرانى الأغا</t>
  </si>
  <si>
    <t>احمد طارق محمد حسانين</t>
  </si>
  <si>
    <t>احمد علاء حسن حافظ</t>
  </si>
  <si>
    <t>احمد محمد مسعد عبدالعزيز حيدر</t>
  </si>
  <si>
    <t>احمد محمود عبدالخالق محمد</t>
  </si>
  <si>
    <t>احمد مصطفى الدسوقى حسن</t>
  </si>
  <si>
    <t>اسلام حسام الدين مجاهد رمضان</t>
  </si>
  <si>
    <t>امجد محمود جمعه ابراهيم</t>
  </si>
  <si>
    <t>آمنه مجدى عبد المجيد عدلى على</t>
  </si>
  <si>
    <t>اندرو ثروت سمعان حبيب</t>
  </si>
  <si>
    <t>اندرو ماهر شكرى ابراهيم</t>
  </si>
  <si>
    <t>أنس يحيى محمد الصادق</t>
  </si>
  <si>
    <t>جوزيف امجد فاروق امجد</t>
  </si>
  <si>
    <t>حسام محمود يوسف فرحات</t>
  </si>
  <si>
    <t>حسن سامح حسن عبد المجيد</t>
  </si>
  <si>
    <t>خالد ابراهيم حسن على حجاج</t>
  </si>
  <si>
    <t>رحمه على عفيفى الشنوفى</t>
  </si>
  <si>
    <t>سعاد حبيب عبدالعزيز عوده جمعه</t>
  </si>
  <si>
    <t>زياد طارق حسنى عطيه السيد</t>
  </si>
  <si>
    <t>سلوى ايهاب محمد محمد على</t>
  </si>
  <si>
    <t>سليمان عاطف سليمان عبد الحميد</t>
  </si>
  <si>
    <t>عبدالرحمن خالد محمد اسماعيل</t>
  </si>
  <si>
    <t>عبدالرحمن صلاح الدين عبدالسميع احمد</t>
  </si>
  <si>
    <t>عبدالرحمن محمد السيد مرغنى</t>
  </si>
  <si>
    <t>محمد حيدر عبد الرحمن حسن صالح</t>
  </si>
  <si>
    <t>محمد رافت حسن عرفه</t>
  </si>
  <si>
    <t>عمر خالد السعيد محمد ابراهيم</t>
  </si>
  <si>
    <t>عمر محمد مصطفى محمد الشيخ</t>
  </si>
  <si>
    <t>فادي ايمن ثابت ناشد</t>
  </si>
  <si>
    <t>فاطمه مصطفى عمر محمد الراوى</t>
  </si>
  <si>
    <t>مايا احمد عبدالمنعم احمد</t>
  </si>
  <si>
    <t>محمد صابر محمد السنوسى</t>
  </si>
  <si>
    <t>محمد حسن احمد عبد العال</t>
  </si>
  <si>
    <t>محمد مصطفى محمد محمود</t>
  </si>
  <si>
    <t>مروان احمد السيد علي</t>
  </si>
  <si>
    <t>مريم عماد عبدالرحمن على</t>
  </si>
  <si>
    <t>مصطفى رفعت فاروق محمد</t>
  </si>
  <si>
    <t>مريم كرمى رضيان عطا الله</t>
  </si>
  <si>
    <t>مصطفى عاطف ابو السعود عبده</t>
  </si>
  <si>
    <t>نادر السيد سمير مبروك صالح</t>
  </si>
  <si>
    <t>ندى محمد السيد على سيد احمد</t>
  </si>
  <si>
    <t>يوسف احمد عليوه عبدالحميد</t>
  </si>
  <si>
    <t>يوسف احمد محمد عبدالرازق محمد</t>
  </si>
  <si>
    <t>يوسف مصطفى جمال الدين مصطفى البحيرى</t>
  </si>
  <si>
    <t>شهد احمد حسنى فرج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</si>
</sst>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25"/>
      <color rgb="FF000000"/>
      <name val="Calibri"/>
      <charset val="134"/>
    </font>
    <font>
      <sz val="11"/>
      <name val="Calibri"/>
      <charset val="134"/>
    </font>
    <font>
      <b/>
      <sz val="16"/>
      <color rgb="FF000000"/>
      <name val="Calibri"/>
      <charset val="134"/>
    </font>
    <font>
      <b/>
      <sz val="20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name val="Calibri"/>
      <charset val="134"/>
    </font>
    <font>
      <sz val="12"/>
      <name val="Calibri"/>
      <charset val="134"/>
    </font>
    <font>
      <sz val="14"/>
      <color rgb="FF000000"/>
      <name val="Calibri"/>
      <charset val="134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D7EE"/>
        <bgColor rgb="FFBED7EE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7CAAC"/>
      </patternFill>
    </fill>
    <fill>
      <patternFill patternType="solid">
        <fgColor rgb="FFF7CAAC"/>
        <bgColor rgb="FFF7CAAC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5117038483843"/>
        <bgColor rgb="FFFBE4D5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485"/>
        <bgColor rgb="FFF7CAAC"/>
      </patternFill>
    </fill>
    <fill>
      <patternFill patternType="solid">
        <fgColor theme="0"/>
        <bgColor rgb="FFC5E0B3"/>
      </patternFill>
    </fill>
    <fill>
      <patternFill patternType="solid">
        <fgColor rgb="FFFFD865"/>
        <bgColor rgb="FFFFD8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rgb="FFE2EFD9"/>
      </patternFill>
    </fill>
    <fill>
      <patternFill patternType="solid">
        <fgColor theme="7" tint="0.79995117038483843"/>
        <bgColor rgb="FFFBE4D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rgb="FFFFFFFF"/>
      </patternFill>
    </fill>
    <fill>
      <patternFill patternType="solid">
        <fgColor theme="0" tint="-0.14996795556505021"/>
        <bgColor rgb="FFFBE4D5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rgb="FFE2EFD9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0" fillId="0" borderId="0"/>
  </cellStyleXfs>
  <cellXfs count="16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5" borderId="3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9" fillId="8" borderId="10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3" fillId="0" borderId="10" xfId="0" applyFont="1" applyBorder="1" applyAlignment="1">
      <alignment vertical="top" wrapText="1" readingOrder="2"/>
    </xf>
    <xf numFmtId="0" fontId="12" fillId="2" borderId="21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12" fillId="16" borderId="18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5" fillId="2" borderId="22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15" borderId="18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2" fillId="17" borderId="10" xfId="0" applyFont="1" applyFill="1" applyBorder="1" applyAlignment="1">
      <alignment horizontal="center"/>
    </xf>
    <xf numFmtId="0" fontId="12" fillId="0" borderId="0" xfId="0" applyFont="1"/>
    <xf numFmtId="9" fontId="9" fillId="8" borderId="7" xfId="0" applyNumberFormat="1" applyFont="1" applyFill="1" applyBorder="1" applyAlignment="1">
      <alignment horizontal="center"/>
    </xf>
    <xf numFmtId="9" fontId="9" fillId="0" borderId="23" xfId="0" applyNumberFormat="1" applyFont="1" applyBorder="1"/>
    <xf numFmtId="9" fontId="9" fillId="3" borderId="23" xfId="0" applyNumberFormat="1" applyFont="1" applyFill="1" applyBorder="1"/>
    <xf numFmtId="9" fontId="9" fillId="0" borderId="24" xfId="0" applyNumberFormat="1" applyFont="1" applyBorder="1"/>
    <xf numFmtId="9" fontId="9" fillId="8" borderId="10" xfId="0" applyNumberFormat="1" applyFont="1" applyFill="1" applyBorder="1" applyAlignment="1">
      <alignment horizontal="center"/>
    </xf>
    <xf numFmtId="9" fontId="9" fillId="0" borderId="0" xfId="0" applyNumberFormat="1" applyFont="1"/>
    <xf numFmtId="9" fontId="9" fillId="3" borderId="0" xfId="0" applyNumberFormat="1" applyFont="1" applyFill="1"/>
    <xf numFmtId="9" fontId="9" fillId="0" borderId="6" xfId="0" applyNumberFormat="1" applyFont="1" applyBorder="1"/>
    <xf numFmtId="9" fontId="9" fillId="8" borderId="18" xfId="0" applyNumberFormat="1" applyFont="1" applyFill="1" applyBorder="1" applyAlignment="1">
      <alignment horizontal="center" vertical="center"/>
    </xf>
    <xf numFmtId="9" fontId="9" fillId="0" borderId="25" xfId="0" applyNumberFormat="1" applyFont="1" applyBorder="1"/>
    <xf numFmtId="9" fontId="9" fillId="3" borderId="25" xfId="0" applyNumberFormat="1" applyFont="1" applyFill="1" applyBorder="1"/>
    <xf numFmtId="9" fontId="9" fillId="0" borderId="26" xfId="0" applyNumberFormat="1" applyFont="1" applyBorder="1"/>
    <xf numFmtId="0" fontId="9" fillId="18" borderId="27" xfId="0" applyFont="1" applyFill="1" applyBorder="1" applyAlignment="1">
      <alignment horizontal="center" vertical="center"/>
    </xf>
    <xf numFmtId="0" fontId="9" fillId="20" borderId="7" xfId="0" applyFont="1" applyFill="1" applyBorder="1" applyAlignment="1">
      <alignment horizontal="center" vertical="center"/>
    </xf>
    <xf numFmtId="0" fontId="9" fillId="18" borderId="14" xfId="0" applyFont="1" applyFill="1" applyBorder="1" applyAlignment="1">
      <alignment horizontal="center" vertical="center"/>
    </xf>
    <xf numFmtId="0" fontId="9" fillId="20" borderId="10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22" borderId="10" xfId="0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6" fillId="0" borderId="29" xfId="0" applyFont="1" applyBorder="1" applyAlignment="1">
      <alignment horizontal="center" vertical="center" wrapText="1" readingOrder="2"/>
    </xf>
    <xf numFmtId="0" fontId="12" fillId="22" borderId="18" xfId="0" applyFont="1" applyFill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2" fillId="5" borderId="30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6" fillId="2" borderId="29" xfId="0" applyFont="1" applyFill="1" applyBorder="1" applyAlignment="1">
      <alignment horizontal="center" vertical="center" wrapText="1" readingOrder="2"/>
    </xf>
    <xf numFmtId="0" fontId="12" fillId="23" borderId="1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7" fillId="0" borderId="29" xfId="0" applyFont="1" applyBorder="1" applyAlignment="1">
      <alignment horizontal="center" vertical="center" wrapText="1" readingOrder="2"/>
    </xf>
    <xf numFmtId="0" fontId="15" fillId="22" borderId="18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2" fillId="3" borderId="0" xfId="0" applyFont="1" applyFill="1"/>
    <xf numFmtId="0" fontId="13" fillId="2" borderId="10" xfId="0" applyFont="1" applyFill="1" applyBorder="1" applyAlignment="1">
      <alignment vertical="top" wrapText="1" readingOrder="2"/>
    </xf>
    <xf numFmtId="0" fontId="12" fillId="24" borderId="14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4" fillId="24" borderId="1" xfId="0" applyFont="1" applyFill="1" applyBorder="1" applyAlignment="1">
      <alignment vertical="center"/>
    </xf>
    <xf numFmtId="0" fontId="14" fillId="2" borderId="31" xfId="0" applyFont="1" applyFill="1" applyBorder="1" applyAlignment="1">
      <alignment vertical="center"/>
    </xf>
    <xf numFmtId="0" fontId="12" fillId="5" borderId="3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15" borderId="3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34" xfId="0" applyFont="1" applyFill="1" applyBorder="1" applyAlignment="1">
      <alignment horizontal="center"/>
    </xf>
    <xf numFmtId="0" fontId="12" fillId="5" borderId="35" xfId="0" applyFont="1" applyFill="1" applyBorder="1" applyAlignment="1">
      <alignment horizontal="center"/>
    </xf>
    <xf numFmtId="0" fontId="12" fillId="15" borderId="35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12" fillId="2" borderId="0" xfId="0" applyFont="1" applyFill="1"/>
    <xf numFmtId="0" fontId="12" fillId="5" borderId="7" xfId="0" applyFont="1" applyFill="1" applyBorder="1" applyAlignment="1">
      <alignment horizontal="center"/>
    </xf>
    <xf numFmtId="0" fontId="12" fillId="25" borderId="10" xfId="0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25" borderId="18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15" borderId="37" xfId="0" applyFont="1" applyFill="1" applyBorder="1" applyAlignment="1">
      <alignment horizontal="center"/>
    </xf>
    <xf numFmtId="0" fontId="12" fillId="5" borderId="38" xfId="0" applyFont="1" applyFill="1" applyBorder="1" applyAlignment="1">
      <alignment horizontal="center"/>
    </xf>
    <xf numFmtId="0" fontId="12" fillId="26" borderId="10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3" fillId="0" borderId="10" xfId="0" applyFont="1" applyFill="1" applyBorder="1" applyAlignment="1">
      <alignment vertical="top" wrapText="1" readingOrder="2"/>
    </xf>
    <xf numFmtId="0" fontId="12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vertical="top" wrapText="1" readingOrder="2"/>
    </xf>
    <xf numFmtId="0" fontId="16" fillId="0" borderId="30" xfId="0" applyFont="1" applyBorder="1" applyAlignment="1">
      <alignment horizontal="center" vertical="center" wrapText="1" readingOrder="2"/>
    </xf>
    <xf numFmtId="0" fontId="12" fillId="0" borderId="21" xfId="0" applyFont="1" applyFill="1" applyBorder="1" applyAlignment="1">
      <alignment horizontal="center"/>
    </xf>
    <xf numFmtId="0" fontId="16" fillId="0" borderId="29" xfId="0" applyFont="1" applyFill="1" applyBorder="1" applyAlignment="1">
      <alignment horizontal="center" vertical="center" wrapText="1" readingOrder="2"/>
    </xf>
    <xf numFmtId="0" fontId="12" fillId="27" borderId="10" xfId="0" applyFont="1" applyFill="1" applyBorder="1" applyAlignment="1">
      <alignment horizontal="center"/>
    </xf>
    <xf numFmtId="0" fontId="12" fillId="0" borderId="0" xfId="0" applyFont="1" applyFill="1"/>
    <xf numFmtId="0" fontId="12" fillId="0" borderId="7" xfId="0" applyFont="1" applyFill="1" applyBorder="1" applyAlignment="1">
      <alignment horizontal="center"/>
    </xf>
    <xf numFmtId="0" fontId="12" fillId="28" borderId="14" xfId="0" applyFont="1" applyFill="1" applyBorder="1" applyAlignment="1">
      <alignment horizontal="center"/>
    </xf>
    <xf numFmtId="0" fontId="13" fillId="28" borderId="10" xfId="0" applyFont="1" applyFill="1" applyBorder="1" applyAlignment="1">
      <alignment vertical="top" wrapText="1" readingOrder="2"/>
    </xf>
    <xf numFmtId="0" fontId="14" fillId="28" borderId="1" xfId="0" applyFont="1" applyFill="1" applyBorder="1" applyAlignment="1">
      <alignment vertical="center"/>
    </xf>
    <xf numFmtId="0" fontId="18" fillId="28" borderId="10" xfId="0" applyFont="1" applyFill="1" applyBorder="1" applyAlignment="1">
      <alignment vertical="top" wrapText="1" readingOrder="2"/>
    </xf>
    <xf numFmtId="0" fontId="19" fillId="28" borderId="2" xfId="0" applyFont="1" applyFill="1" applyBorder="1" applyAlignment="1">
      <alignment vertical="top" wrapText="1" readingOrder="1"/>
    </xf>
    <xf numFmtId="0" fontId="12" fillId="29" borderId="14" xfId="0" applyFont="1" applyFill="1" applyBorder="1" applyAlignment="1">
      <alignment horizontal="center"/>
    </xf>
    <xf numFmtId="0" fontId="18" fillId="29" borderId="10" xfId="0" applyFont="1" applyFill="1" applyBorder="1" applyAlignment="1">
      <alignment vertical="top" wrapText="1" readingOrder="2"/>
    </xf>
    <xf numFmtId="0" fontId="12" fillId="29" borderId="21" xfId="0" applyFont="1" applyFill="1" applyBorder="1" applyAlignment="1">
      <alignment horizontal="center"/>
    </xf>
    <xf numFmtId="0" fontId="12" fillId="30" borderId="10" xfId="0" applyFont="1" applyFill="1" applyBorder="1" applyAlignment="1">
      <alignment horizontal="center"/>
    </xf>
    <xf numFmtId="0" fontId="12" fillId="31" borderId="10" xfId="0" applyFont="1" applyFill="1" applyBorder="1" applyAlignment="1">
      <alignment horizontal="center"/>
    </xf>
    <xf numFmtId="0" fontId="18" fillId="0" borderId="10" xfId="0" applyFont="1" applyBorder="1" applyAlignment="1">
      <alignment vertical="top" wrapText="1" readingOrder="2"/>
    </xf>
    <xf numFmtId="0" fontId="12" fillId="32" borderId="10" xfId="0" applyFont="1" applyFill="1" applyBorder="1" applyAlignment="1">
      <alignment horizontal="center"/>
    </xf>
    <xf numFmtId="0" fontId="16" fillId="0" borderId="36" xfId="0" applyFont="1" applyBorder="1" applyAlignment="1">
      <alignment horizontal="center" vertical="center" wrapText="1" readingOrder="2"/>
    </xf>
    <xf numFmtId="0" fontId="16" fillId="0" borderId="30" xfId="0" applyFont="1" applyFill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2" fillId="29" borderId="10" xfId="0" applyFont="1" applyFill="1" applyBorder="1" applyAlignment="1">
      <alignment horizontal="center"/>
    </xf>
    <xf numFmtId="0" fontId="12" fillId="33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 wrapText="1"/>
    </xf>
    <xf numFmtId="0" fontId="5" fillId="10" borderId="16" xfId="0" applyFont="1" applyFill="1" applyBorder="1" applyAlignment="1">
      <alignment horizontal="center" wrapText="1"/>
    </xf>
    <xf numFmtId="0" fontId="9" fillId="12" borderId="19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9" fillId="13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7" fillId="13" borderId="2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9" fillId="18" borderId="2" xfId="0" applyFont="1" applyFill="1" applyBorder="1" applyAlignment="1">
      <alignment horizontal="center" vertical="center"/>
    </xf>
    <xf numFmtId="0" fontId="4" fillId="21" borderId="28" xfId="0" applyFont="1" applyFill="1" applyBorder="1" applyAlignment="1">
      <alignment vertical="center"/>
    </xf>
    <xf numFmtId="0" fontId="4" fillId="21" borderId="7" xfId="0" applyFont="1" applyFill="1" applyBorder="1" applyAlignment="1">
      <alignment vertical="center"/>
    </xf>
    <xf numFmtId="0" fontId="7" fillId="18" borderId="2" xfId="0" applyFont="1" applyFill="1" applyBorder="1" applyAlignment="1">
      <alignment horizontal="center" vertical="center" wrapText="1"/>
    </xf>
    <xf numFmtId="0" fontId="11" fillId="21" borderId="7" xfId="0" applyFont="1" applyFill="1" applyBorder="1" applyAlignment="1">
      <alignment vertical="center"/>
    </xf>
    <xf numFmtId="0" fontId="7" fillId="19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/>
    </xf>
    <xf numFmtId="0" fontId="7" fillId="9" borderId="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01"/>
  <sheetViews>
    <sheetView rightToLeft="1" tabSelected="1" topLeftCell="B1" zoomScale="82" zoomScaleNormal="82" workbookViewId="0">
      <pane xSplit="2" ySplit="7" topLeftCell="D309" activePane="bottomRight" state="frozen"/>
      <selection pane="topRight"/>
      <selection pane="bottomLeft"/>
      <selection pane="bottomRight" sqref="A1:O1"/>
    </sheetView>
  </sheetViews>
  <sheetFormatPr defaultColWidth="14.42578125" defaultRowHeight="15" customHeight="1"/>
  <cols>
    <col min="1" max="2" width="5.5703125" customWidth="1"/>
    <col min="3" max="3" width="52.7109375" style="5" customWidth="1"/>
    <col min="4" max="4" width="9.5703125" style="1" customWidth="1"/>
    <col min="5" max="5" width="9.42578125" style="1" customWidth="1"/>
    <col min="6" max="7" width="11.42578125" customWidth="1"/>
    <col min="8" max="8" width="13.5703125" customWidth="1"/>
    <col min="9" max="9" width="16.85546875" customWidth="1"/>
    <col min="10" max="11" width="11.42578125" customWidth="1"/>
    <col min="12" max="12" width="15.5703125" customWidth="1"/>
    <col min="13" max="13" width="16.85546875" style="3" customWidth="1"/>
    <col min="14" max="14" width="16.85546875" customWidth="1"/>
    <col min="15" max="15" width="11.42578125" customWidth="1"/>
    <col min="16" max="27" width="8.85546875" customWidth="1"/>
  </cols>
  <sheetData>
    <row r="1" spans="1:27" ht="32.25">
      <c r="A1" s="131" t="s">
        <v>0</v>
      </c>
      <c r="B1" s="131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24" customHeight="1">
      <c r="A2" s="139"/>
      <c r="B2" s="6"/>
      <c r="C2" s="143" t="s">
        <v>1</v>
      </c>
      <c r="D2" s="161" t="s">
        <v>2</v>
      </c>
      <c r="E2" s="162"/>
      <c r="F2" s="158" t="s">
        <v>3</v>
      </c>
      <c r="G2" s="159"/>
      <c r="H2" s="7" t="s">
        <v>4</v>
      </c>
      <c r="I2" s="7" t="s">
        <v>5</v>
      </c>
      <c r="J2" s="40">
        <v>0</v>
      </c>
      <c r="K2" s="41"/>
      <c r="L2" s="41"/>
      <c r="M2" s="42"/>
      <c r="N2" s="41"/>
      <c r="O2" s="43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 ht="24" customHeight="1">
      <c r="A3" s="140"/>
      <c r="B3" s="8"/>
      <c r="C3" s="144"/>
      <c r="D3" s="163"/>
      <c r="E3" s="164"/>
      <c r="F3" s="160"/>
      <c r="G3" s="159"/>
      <c r="H3" s="9" t="s">
        <v>6</v>
      </c>
      <c r="I3" s="9" t="s">
        <v>7</v>
      </c>
      <c r="J3" s="44">
        <v>0</v>
      </c>
      <c r="K3" s="45"/>
      <c r="L3" s="45"/>
      <c r="M3" s="46"/>
      <c r="N3" s="45"/>
      <c r="O3" s="47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24" customHeight="1">
      <c r="A4" s="140"/>
      <c r="B4" s="8"/>
      <c r="C4" s="145"/>
      <c r="D4" s="165"/>
      <c r="E4" s="166"/>
      <c r="F4" s="160"/>
      <c r="G4" s="159"/>
      <c r="H4" s="9" t="s">
        <v>8</v>
      </c>
      <c r="I4" s="9" t="s">
        <v>9</v>
      </c>
      <c r="J4" s="44">
        <v>0.6</v>
      </c>
      <c r="K4" s="45"/>
      <c r="L4" s="45"/>
      <c r="M4" s="46"/>
      <c r="N4" s="45"/>
      <c r="O4" s="47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24" customHeight="1">
      <c r="A5" s="140"/>
      <c r="B5" s="8"/>
      <c r="C5" s="10" t="s">
        <v>10</v>
      </c>
      <c r="D5" s="133">
        <v>3</v>
      </c>
      <c r="E5" s="134"/>
      <c r="F5" s="160"/>
      <c r="G5" s="159"/>
      <c r="H5" s="9" t="s">
        <v>11</v>
      </c>
      <c r="I5" s="9" t="s">
        <v>12</v>
      </c>
      <c r="J5" s="44">
        <v>0.8</v>
      </c>
      <c r="K5" s="45"/>
      <c r="L5" s="45"/>
      <c r="M5" s="46"/>
      <c r="N5" s="45"/>
      <c r="O5" s="47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24" customHeight="1">
      <c r="A6" s="140"/>
      <c r="B6" s="8"/>
      <c r="C6" s="11" t="s">
        <v>13</v>
      </c>
      <c r="D6" s="135">
        <v>150</v>
      </c>
      <c r="E6" s="136"/>
      <c r="F6" s="160"/>
      <c r="G6" s="159"/>
      <c r="H6" s="12" t="s">
        <v>14</v>
      </c>
      <c r="I6" s="12" t="s">
        <v>15</v>
      </c>
      <c r="J6" s="48">
        <v>1</v>
      </c>
      <c r="K6" s="49"/>
      <c r="L6" s="49"/>
      <c r="M6" s="50"/>
      <c r="N6" s="49"/>
      <c r="O6" s="51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ht="46.9" customHeight="1">
      <c r="A7" s="141" t="s">
        <v>16</v>
      </c>
      <c r="B7" s="13" t="s">
        <v>16</v>
      </c>
      <c r="C7" s="141" t="s">
        <v>17</v>
      </c>
      <c r="D7" s="137" t="s">
        <v>18</v>
      </c>
      <c r="E7" s="138"/>
      <c r="F7" s="146" t="s">
        <v>19</v>
      </c>
      <c r="G7" s="146" t="s">
        <v>20</v>
      </c>
      <c r="H7" s="148" t="s">
        <v>21</v>
      </c>
      <c r="I7" s="52" t="s">
        <v>22</v>
      </c>
      <c r="J7" s="150" t="s">
        <v>19</v>
      </c>
      <c r="K7" s="150" t="s">
        <v>20</v>
      </c>
      <c r="L7" s="153" t="s">
        <v>23</v>
      </c>
      <c r="M7" s="155" t="s">
        <v>24</v>
      </c>
      <c r="N7" s="157" t="s">
        <v>25</v>
      </c>
      <c r="O7" s="53" t="s">
        <v>26</v>
      </c>
      <c r="P7" s="39"/>
      <c r="Q7" s="39"/>
      <c r="R7" s="39"/>
      <c r="S7" s="39"/>
      <c r="T7" s="39"/>
      <c r="U7" s="39"/>
      <c r="V7" s="39"/>
    </row>
    <row r="8" spans="1:27" ht="18" customHeight="1">
      <c r="A8" s="142"/>
      <c r="B8" s="14"/>
      <c r="C8" s="142"/>
      <c r="D8" s="15" t="s">
        <v>27</v>
      </c>
      <c r="E8" s="15" t="s">
        <v>28</v>
      </c>
      <c r="F8" s="147"/>
      <c r="G8" s="147"/>
      <c r="H8" s="149"/>
      <c r="I8" s="54" t="s">
        <v>29</v>
      </c>
      <c r="J8" s="151"/>
      <c r="K8" s="152"/>
      <c r="L8" s="154"/>
      <c r="M8" s="156"/>
      <c r="N8" s="149"/>
      <c r="O8" s="55">
        <v>105</v>
      </c>
    </row>
    <row r="9" spans="1:27" ht="18" customHeight="1">
      <c r="A9" s="16">
        <v>1</v>
      </c>
      <c r="B9" s="16">
        <f>ROW(B1)</f>
        <v>1</v>
      </c>
      <c r="C9" s="17" t="s">
        <v>30</v>
      </c>
      <c r="D9" s="18" t="s">
        <v>11</v>
      </c>
      <c r="E9" s="18" t="s">
        <v>6</v>
      </c>
      <c r="F9" s="19">
        <f>(0.5*(IF(E9="AB",0,(IF(E9="NA",0,(IF(E9="P",0.6,(IF(E9="M",0.8,(IF(E9="D",1,"False Entry")))))))))))+(0.5*(IF(D9="AB",0,(IF(D9="NA",0,(IF(D9="P",0.6,(IF(D9="M",0.8,(IF(D9="D",1,"False Entry")))))))))))</f>
        <v>0.4</v>
      </c>
      <c r="G9" s="19">
        <v>30</v>
      </c>
      <c r="H9" s="20">
        <f>ROUNDUP(F9*G9,0)</f>
        <v>12</v>
      </c>
      <c r="I9" s="56" t="s">
        <v>14</v>
      </c>
      <c r="J9" s="19">
        <f>(IF(I9="AB",0,IF(I9="NA",0,IF(I9="P",0.6,IF(I9="M",0.8,IF(I9="D",1,"False Entry"))))))</f>
        <v>1</v>
      </c>
      <c r="K9" s="19">
        <v>45</v>
      </c>
      <c r="L9" s="21">
        <f>J9*K9</f>
        <v>45</v>
      </c>
      <c r="M9" s="57">
        <v>10</v>
      </c>
      <c r="N9" s="58">
        <f>ROUNDUP(M9+L9,0)</f>
        <v>55</v>
      </c>
      <c r="O9" s="21">
        <f t="shared" ref="O9:O32" si="0">H9+N9</f>
        <v>67</v>
      </c>
      <c r="P9" s="39"/>
      <c r="Q9" s="39"/>
      <c r="R9" s="39"/>
      <c r="S9" s="39"/>
      <c r="T9" s="39"/>
      <c r="U9" s="39"/>
      <c r="V9" s="39"/>
    </row>
    <row r="10" spans="1:27" ht="18" customHeight="1">
      <c r="A10" s="16">
        <v>2</v>
      </c>
      <c r="B10" s="16">
        <f>ROW(B2)</f>
        <v>2</v>
      </c>
      <c r="C10" s="17" t="s">
        <v>31</v>
      </c>
      <c r="D10" s="18" t="s">
        <v>11</v>
      </c>
      <c r="E10" s="18" t="s">
        <v>11</v>
      </c>
      <c r="F10" s="19">
        <f t="shared" ref="F10:F74" si="1">(0.5*(IF(E10="AB",0,(IF(E10="NA",0,(IF(E10="P",0.6,(IF(E10="M",0.8,(IF(E10="D",1,"False Entry")))))))))))+(0.5*(IF(D10="AB",0,(IF(D10="NA",0,(IF(D10="P",0.6,(IF(D10="M",0.8,(IF(D10="D",1,"False Entry")))))))))))</f>
        <v>0.8</v>
      </c>
      <c r="G10" s="19">
        <v>30</v>
      </c>
      <c r="H10" s="20">
        <f t="shared" ref="H10:H84" si="2">ROUNDUP(F10*G10,0)</f>
        <v>24</v>
      </c>
      <c r="I10" s="56" t="s">
        <v>14</v>
      </c>
      <c r="J10" s="19">
        <f t="shared" ref="J10:J70" si="3">(IF(I10="AB",0,IF(I10="NA",0,IF(I10="P",0.6,IF(I10="M",0.8,IF(I10="D",1,"False Entry"))))))</f>
        <v>1</v>
      </c>
      <c r="K10" s="19">
        <v>45</v>
      </c>
      <c r="L10" s="21">
        <f t="shared" ref="L10:L74" si="4">J10*K10</f>
        <v>45</v>
      </c>
      <c r="M10" s="57">
        <v>29</v>
      </c>
      <c r="N10" s="58">
        <f>ROUNDUP(M10+L10,0)</f>
        <v>74</v>
      </c>
      <c r="O10" s="21">
        <f t="shared" si="0"/>
        <v>98</v>
      </c>
      <c r="P10" s="39"/>
      <c r="Q10" s="39"/>
      <c r="R10" s="39"/>
      <c r="S10" s="39"/>
      <c r="T10" s="39"/>
      <c r="U10" s="39"/>
      <c r="V10" s="39"/>
    </row>
    <row r="11" spans="1:27" ht="18" customHeight="1">
      <c r="A11" s="16">
        <v>3</v>
      </c>
      <c r="B11" s="16">
        <f t="shared" ref="B11:B16" si="5">ROW(B3)</f>
        <v>3</v>
      </c>
      <c r="C11" s="17" t="s">
        <v>32</v>
      </c>
      <c r="D11" s="18" t="s">
        <v>11</v>
      </c>
      <c r="E11" s="18" t="s">
        <v>11</v>
      </c>
      <c r="F11" s="19">
        <f t="shared" si="1"/>
        <v>0.8</v>
      </c>
      <c r="G11" s="19">
        <v>30</v>
      </c>
      <c r="H11" s="20">
        <f t="shared" si="2"/>
        <v>24</v>
      </c>
      <c r="I11" s="56" t="s">
        <v>14</v>
      </c>
      <c r="J11" s="19">
        <f t="shared" si="3"/>
        <v>1</v>
      </c>
      <c r="K11" s="19">
        <v>45</v>
      </c>
      <c r="L11" s="21">
        <f t="shared" si="4"/>
        <v>45</v>
      </c>
      <c r="M11" s="57">
        <v>6</v>
      </c>
      <c r="N11" s="58">
        <f>ROUNDUP(M11+L11,0)</f>
        <v>51</v>
      </c>
      <c r="O11" s="21">
        <f t="shared" si="0"/>
        <v>75</v>
      </c>
      <c r="P11" s="39"/>
      <c r="Q11" s="39"/>
      <c r="R11" s="39"/>
      <c r="S11" s="39"/>
      <c r="T11" s="39"/>
      <c r="U11" s="39"/>
      <c r="V11" s="39"/>
    </row>
    <row r="12" spans="1:27" ht="18" customHeight="1">
      <c r="A12" s="16">
        <v>4</v>
      </c>
      <c r="B12" s="16">
        <f t="shared" si="5"/>
        <v>4</v>
      </c>
      <c r="C12" s="17" t="s">
        <v>33</v>
      </c>
      <c r="D12" s="18" t="s">
        <v>14</v>
      </c>
      <c r="E12" s="18" t="s">
        <v>11</v>
      </c>
      <c r="F12" s="19">
        <f t="shared" si="1"/>
        <v>0.9</v>
      </c>
      <c r="G12" s="19">
        <v>30</v>
      </c>
      <c r="H12" s="20">
        <f t="shared" si="2"/>
        <v>27</v>
      </c>
      <c r="I12" s="56" t="s">
        <v>14</v>
      </c>
      <c r="J12" s="19">
        <f t="shared" si="3"/>
        <v>1</v>
      </c>
      <c r="K12" s="19">
        <v>45</v>
      </c>
      <c r="L12" s="21">
        <f t="shared" si="4"/>
        <v>45</v>
      </c>
      <c r="M12" s="57">
        <v>20</v>
      </c>
      <c r="N12" s="58">
        <f t="shared" ref="N12:N32" si="6">ROUNDUP(M12+L12,0)</f>
        <v>65</v>
      </c>
      <c r="O12" s="21">
        <f t="shared" si="0"/>
        <v>92</v>
      </c>
      <c r="P12" s="39"/>
      <c r="Q12" s="39"/>
      <c r="R12" s="39"/>
      <c r="S12" s="39"/>
      <c r="T12" s="39"/>
      <c r="U12" s="39"/>
      <c r="V12" s="39"/>
    </row>
    <row r="13" spans="1:27" ht="18" customHeight="1">
      <c r="A13" s="16">
        <v>5</v>
      </c>
      <c r="B13" s="16">
        <f t="shared" si="5"/>
        <v>5</v>
      </c>
      <c r="C13" s="17" t="s">
        <v>34</v>
      </c>
      <c r="D13" s="18" t="s">
        <v>11</v>
      </c>
      <c r="E13" s="18" t="s">
        <v>11</v>
      </c>
      <c r="F13" s="21">
        <f t="shared" si="1"/>
        <v>0.8</v>
      </c>
      <c r="G13" s="21">
        <v>30</v>
      </c>
      <c r="H13" s="22">
        <f t="shared" si="2"/>
        <v>24</v>
      </c>
      <c r="I13" s="56" t="s">
        <v>14</v>
      </c>
      <c r="J13" s="19">
        <f t="shared" si="3"/>
        <v>1</v>
      </c>
      <c r="K13" s="21">
        <v>45</v>
      </c>
      <c r="L13" s="21">
        <f t="shared" si="4"/>
        <v>45</v>
      </c>
      <c r="M13" s="21">
        <v>30</v>
      </c>
      <c r="N13" s="58">
        <f t="shared" si="6"/>
        <v>75</v>
      </c>
      <c r="O13" s="21">
        <f t="shared" si="0"/>
        <v>99</v>
      </c>
      <c r="P13" s="39"/>
      <c r="Q13" s="39"/>
      <c r="R13" s="39"/>
      <c r="S13" s="39"/>
      <c r="T13" s="39"/>
      <c r="U13" s="39"/>
      <c r="V13" s="39"/>
    </row>
    <row r="14" spans="1:27" ht="15.75" customHeight="1">
      <c r="B14" s="16">
        <f t="shared" si="5"/>
        <v>6</v>
      </c>
      <c r="C14" s="23" t="s">
        <v>35</v>
      </c>
      <c r="D14" s="24" t="s">
        <v>6</v>
      </c>
      <c r="E14" s="24" t="s">
        <v>6</v>
      </c>
      <c r="F14" s="25">
        <f t="shared" si="1"/>
        <v>0</v>
      </c>
      <c r="G14" s="19">
        <v>30</v>
      </c>
      <c r="H14" s="26">
        <f t="shared" si="2"/>
        <v>0</v>
      </c>
      <c r="I14" s="59" t="s">
        <v>11</v>
      </c>
      <c r="J14" s="25">
        <f t="shared" si="3"/>
        <v>0.8</v>
      </c>
      <c r="K14" s="19">
        <v>45</v>
      </c>
      <c r="L14" s="60">
        <f t="shared" si="4"/>
        <v>36</v>
      </c>
      <c r="M14" s="61">
        <v>0</v>
      </c>
      <c r="N14" s="62">
        <f t="shared" si="6"/>
        <v>36</v>
      </c>
      <c r="O14" s="21">
        <f t="shared" si="0"/>
        <v>36</v>
      </c>
    </row>
    <row r="15" spans="1:27" ht="15.75" customHeight="1">
      <c r="B15" s="16">
        <f t="shared" si="5"/>
        <v>7</v>
      </c>
      <c r="C15" s="23" t="s">
        <v>36</v>
      </c>
      <c r="D15" s="24" t="s">
        <v>11</v>
      </c>
      <c r="E15" s="24" t="s">
        <v>11</v>
      </c>
      <c r="F15" s="25">
        <f t="shared" si="1"/>
        <v>0.8</v>
      </c>
      <c r="G15" s="19">
        <v>30</v>
      </c>
      <c r="H15" s="26">
        <f t="shared" si="2"/>
        <v>24</v>
      </c>
      <c r="I15" s="63" t="s">
        <v>14</v>
      </c>
      <c r="J15" s="25">
        <f t="shared" si="3"/>
        <v>1</v>
      </c>
      <c r="K15" s="64">
        <v>45</v>
      </c>
      <c r="L15" s="60">
        <f t="shared" si="4"/>
        <v>45</v>
      </c>
      <c r="M15" s="61">
        <v>28</v>
      </c>
      <c r="N15" s="62">
        <f t="shared" si="6"/>
        <v>73</v>
      </c>
      <c r="O15" s="21">
        <f t="shared" si="0"/>
        <v>97</v>
      </c>
    </row>
    <row r="16" spans="1:27" s="1" customFormat="1" ht="15.75" customHeight="1">
      <c r="B16" s="16">
        <f t="shared" si="5"/>
        <v>8</v>
      </c>
      <c r="C16" s="27" t="s">
        <v>37</v>
      </c>
      <c r="D16" s="24" t="s">
        <v>11</v>
      </c>
      <c r="E16" s="24" t="s">
        <v>6</v>
      </c>
      <c r="F16" s="28">
        <f t="shared" si="1"/>
        <v>0.4</v>
      </c>
      <c r="G16" s="29">
        <v>30</v>
      </c>
      <c r="H16" s="26">
        <f t="shared" si="2"/>
        <v>12</v>
      </c>
      <c r="I16" s="24" t="s">
        <v>4</v>
      </c>
      <c r="J16" s="28">
        <f t="shared" si="3"/>
        <v>0</v>
      </c>
      <c r="K16" s="65">
        <v>45</v>
      </c>
      <c r="L16" s="66">
        <f t="shared" si="4"/>
        <v>0</v>
      </c>
      <c r="M16" s="67">
        <v>14</v>
      </c>
      <c r="N16" s="68">
        <f t="shared" si="6"/>
        <v>14</v>
      </c>
      <c r="O16" s="69">
        <f t="shared" si="0"/>
        <v>26</v>
      </c>
    </row>
    <row r="17" spans="1:22" ht="18" customHeight="1">
      <c r="A17" s="16">
        <v>6</v>
      </c>
      <c r="B17" s="16">
        <f t="shared" ref="B17:B93" si="7">ROW(B9)</f>
        <v>9</v>
      </c>
      <c r="C17" s="17" t="s">
        <v>38</v>
      </c>
      <c r="D17" s="18" t="s">
        <v>11</v>
      </c>
      <c r="E17" s="18" t="s">
        <v>6</v>
      </c>
      <c r="F17" s="19">
        <f t="shared" si="1"/>
        <v>0.4</v>
      </c>
      <c r="G17" s="19">
        <v>30</v>
      </c>
      <c r="H17" s="30">
        <f t="shared" si="2"/>
        <v>12</v>
      </c>
      <c r="I17" s="70" t="s">
        <v>14</v>
      </c>
      <c r="J17" s="19">
        <f t="shared" si="3"/>
        <v>1</v>
      </c>
      <c r="K17" s="19">
        <v>45</v>
      </c>
      <c r="L17" s="21">
        <f t="shared" si="4"/>
        <v>45</v>
      </c>
      <c r="M17" s="57">
        <v>26</v>
      </c>
      <c r="N17" s="58">
        <f t="shared" si="6"/>
        <v>71</v>
      </c>
      <c r="O17" s="21">
        <f t="shared" si="0"/>
        <v>83</v>
      </c>
      <c r="P17" s="39"/>
      <c r="Q17" s="39"/>
      <c r="R17" s="39"/>
      <c r="S17" s="39"/>
      <c r="T17" s="39"/>
      <c r="U17" s="39"/>
      <c r="V17" s="39"/>
    </row>
    <row r="18" spans="1:22" ht="18" customHeight="1">
      <c r="A18" s="16">
        <v>7</v>
      </c>
      <c r="B18" s="16">
        <f t="shared" si="7"/>
        <v>10</v>
      </c>
      <c r="C18" s="17" t="s">
        <v>39</v>
      </c>
      <c r="D18" s="18" t="s">
        <v>14</v>
      </c>
      <c r="E18" s="18" t="s">
        <v>11</v>
      </c>
      <c r="F18" s="19">
        <f t="shared" si="1"/>
        <v>0.9</v>
      </c>
      <c r="G18" s="19">
        <v>30</v>
      </c>
      <c r="H18" s="30">
        <f t="shared" si="2"/>
        <v>27</v>
      </c>
      <c r="I18" s="56" t="s">
        <v>14</v>
      </c>
      <c r="J18" s="19">
        <f t="shared" si="3"/>
        <v>1</v>
      </c>
      <c r="K18" s="19">
        <v>45</v>
      </c>
      <c r="L18" s="21">
        <f t="shared" si="4"/>
        <v>45</v>
      </c>
      <c r="M18" s="57">
        <v>27</v>
      </c>
      <c r="N18" s="58">
        <f t="shared" si="6"/>
        <v>72</v>
      </c>
      <c r="O18" s="21">
        <f t="shared" si="0"/>
        <v>99</v>
      </c>
      <c r="P18" s="39"/>
      <c r="Q18" s="39"/>
      <c r="R18" s="39"/>
      <c r="S18" s="39"/>
      <c r="T18" s="39"/>
      <c r="U18" s="39"/>
      <c r="V18" s="39"/>
    </row>
    <row r="19" spans="1:22" s="2" customFormat="1" ht="15.75" customHeight="1">
      <c r="B19" s="16">
        <f t="shared" si="7"/>
        <v>11</v>
      </c>
      <c r="C19" s="31" t="s">
        <v>40</v>
      </c>
      <c r="D19" s="32" t="s">
        <v>11</v>
      </c>
      <c r="E19" s="32" t="s">
        <v>11</v>
      </c>
      <c r="F19" s="33">
        <f t="shared" ref="F19:F21" si="8">(0.5*(IF(E19="AB",0,(IF(E19="NA",0,(IF(E19="P",0.6,(IF(E19="M",0.8,(IF(E19="D",1,"False Entry")))))))))))+(0.5*(IF(D19="AB",0,(IF(D19="NA",0,(IF(D19="P",0.6,(IF(D19="M",0.8,(IF(D19="D",1,"False Entry")))))))))))</f>
        <v>0.8</v>
      </c>
      <c r="G19" s="34">
        <v>30</v>
      </c>
      <c r="H19" s="35">
        <f t="shared" si="2"/>
        <v>24</v>
      </c>
      <c r="I19" s="63" t="s">
        <v>11</v>
      </c>
      <c r="J19" s="33">
        <f t="shared" si="3"/>
        <v>0.8</v>
      </c>
      <c r="K19" s="34">
        <v>45</v>
      </c>
      <c r="L19" s="71">
        <f t="shared" si="4"/>
        <v>36</v>
      </c>
      <c r="M19" s="72">
        <v>28</v>
      </c>
      <c r="N19" s="73">
        <f t="shared" si="6"/>
        <v>64</v>
      </c>
      <c r="O19" s="74">
        <f t="shared" si="0"/>
        <v>88</v>
      </c>
    </row>
    <row r="20" spans="1:22" s="2" customFormat="1" ht="15.75" customHeight="1">
      <c r="B20" s="16">
        <f t="shared" si="7"/>
        <v>12</v>
      </c>
      <c r="C20" s="31" t="s">
        <v>41</v>
      </c>
      <c r="D20" s="32" t="s">
        <v>11</v>
      </c>
      <c r="E20" s="32" t="s">
        <v>8</v>
      </c>
      <c r="F20" s="33">
        <f t="shared" si="8"/>
        <v>0.7</v>
      </c>
      <c r="G20" s="34">
        <v>30</v>
      </c>
      <c r="H20" s="35">
        <f t="shared" si="2"/>
        <v>21</v>
      </c>
      <c r="I20" s="63" t="s">
        <v>14</v>
      </c>
      <c r="J20" s="33">
        <f t="shared" si="3"/>
        <v>1</v>
      </c>
      <c r="K20" s="34">
        <v>45</v>
      </c>
      <c r="L20" s="71">
        <f t="shared" si="4"/>
        <v>45</v>
      </c>
      <c r="M20" s="72">
        <v>27</v>
      </c>
      <c r="N20" s="73">
        <f t="shared" si="6"/>
        <v>72</v>
      </c>
      <c r="O20" s="74">
        <f t="shared" si="0"/>
        <v>93</v>
      </c>
    </row>
    <row r="21" spans="1:22" s="2" customFormat="1" ht="15.75" customHeight="1">
      <c r="B21" s="16">
        <f t="shared" si="7"/>
        <v>13</v>
      </c>
      <c r="C21" s="31" t="s">
        <v>42</v>
      </c>
      <c r="D21" s="32" t="s">
        <v>6</v>
      </c>
      <c r="E21" s="32" t="s">
        <v>6</v>
      </c>
      <c r="F21" s="33">
        <f t="shared" si="8"/>
        <v>0</v>
      </c>
      <c r="G21" s="34">
        <v>30</v>
      </c>
      <c r="H21" s="35">
        <f t="shared" si="2"/>
        <v>0</v>
      </c>
      <c r="I21" s="63" t="s">
        <v>14</v>
      </c>
      <c r="J21" s="33">
        <f t="shared" si="3"/>
        <v>1</v>
      </c>
      <c r="K21" s="34">
        <v>45</v>
      </c>
      <c r="L21" s="71">
        <f t="shared" si="4"/>
        <v>45</v>
      </c>
      <c r="M21" s="72">
        <v>19</v>
      </c>
      <c r="N21" s="73">
        <f t="shared" si="6"/>
        <v>64</v>
      </c>
      <c r="O21" s="74">
        <f t="shared" si="0"/>
        <v>64</v>
      </c>
    </row>
    <row r="22" spans="1:22" ht="18" customHeight="1">
      <c r="A22" s="16">
        <v>9</v>
      </c>
      <c r="B22" s="16">
        <f t="shared" si="7"/>
        <v>14</v>
      </c>
      <c r="C22" s="17" t="s">
        <v>43</v>
      </c>
      <c r="D22" s="18" t="s">
        <v>11</v>
      </c>
      <c r="E22" s="18" t="s">
        <v>6</v>
      </c>
      <c r="F22" s="21">
        <f t="shared" si="1"/>
        <v>0.4</v>
      </c>
      <c r="G22" s="21">
        <v>30</v>
      </c>
      <c r="H22" s="22">
        <f t="shared" si="2"/>
        <v>12</v>
      </c>
      <c r="I22" s="56" t="s">
        <v>14</v>
      </c>
      <c r="J22" s="19">
        <f t="shared" si="3"/>
        <v>1</v>
      </c>
      <c r="K22" s="21">
        <v>45</v>
      </c>
      <c r="L22" s="21">
        <f t="shared" si="4"/>
        <v>45</v>
      </c>
      <c r="M22" s="21">
        <v>10</v>
      </c>
      <c r="N22" s="58">
        <f t="shared" si="6"/>
        <v>55</v>
      </c>
      <c r="O22" s="21">
        <f t="shared" si="0"/>
        <v>67</v>
      </c>
      <c r="P22" s="39"/>
      <c r="Q22" s="39"/>
      <c r="R22" s="39"/>
      <c r="S22" s="39"/>
      <c r="T22" s="39"/>
      <c r="U22" s="39"/>
      <c r="V22" s="39"/>
    </row>
    <row r="23" spans="1:22" ht="18" customHeight="1">
      <c r="A23" s="16">
        <v>11</v>
      </c>
      <c r="B23" s="16">
        <f t="shared" si="7"/>
        <v>15</v>
      </c>
      <c r="C23" s="17" t="s">
        <v>44</v>
      </c>
      <c r="D23" s="18" t="s">
        <v>14</v>
      </c>
      <c r="E23" s="18" t="s">
        <v>14</v>
      </c>
      <c r="F23" s="19">
        <f t="shared" si="1"/>
        <v>1</v>
      </c>
      <c r="G23" s="19">
        <v>30</v>
      </c>
      <c r="H23" s="30">
        <f t="shared" si="2"/>
        <v>30</v>
      </c>
      <c r="I23" s="56" t="s">
        <v>14</v>
      </c>
      <c r="J23" s="19">
        <f t="shared" si="3"/>
        <v>1</v>
      </c>
      <c r="K23" s="19">
        <v>45</v>
      </c>
      <c r="L23" s="21">
        <f t="shared" si="4"/>
        <v>45</v>
      </c>
      <c r="M23" s="57">
        <v>19</v>
      </c>
      <c r="N23" s="58">
        <f t="shared" si="6"/>
        <v>64</v>
      </c>
      <c r="O23" s="21">
        <f t="shared" si="0"/>
        <v>94</v>
      </c>
      <c r="P23" s="39"/>
      <c r="Q23" s="39"/>
      <c r="R23" s="39"/>
      <c r="S23" s="39"/>
      <c r="T23" s="39"/>
      <c r="U23" s="39"/>
      <c r="V23" s="39"/>
    </row>
    <row r="24" spans="1:22" ht="18" customHeight="1">
      <c r="A24" s="16">
        <v>12</v>
      </c>
      <c r="B24" s="16">
        <f t="shared" si="7"/>
        <v>16</v>
      </c>
      <c r="C24" s="17" t="s">
        <v>45</v>
      </c>
      <c r="D24" s="18" t="s">
        <v>11</v>
      </c>
      <c r="E24" s="18" t="s">
        <v>8</v>
      </c>
      <c r="F24" s="19">
        <f t="shared" si="1"/>
        <v>0.7</v>
      </c>
      <c r="G24" s="19">
        <v>30</v>
      </c>
      <c r="H24" s="30">
        <f t="shared" si="2"/>
        <v>21</v>
      </c>
      <c r="I24" s="56" t="s">
        <v>14</v>
      </c>
      <c r="J24" s="19">
        <f t="shared" si="3"/>
        <v>1</v>
      </c>
      <c r="K24" s="19">
        <v>45</v>
      </c>
      <c r="L24" s="21">
        <f t="shared" si="4"/>
        <v>45</v>
      </c>
      <c r="M24" s="57">
        <v>25</v>
      </c>
      <c r="N24" s="58">
        <f t="shared" si="6"/>
        <v>70</v>
      </c>
      <c r="O24" s="21">
        <f t="shared" si="0"/>
        <v>91</v>
      </c>
      <c r="P24" s="39"/>
      <c r="Q24" s="39"/>
      <c r="R24" s="39"/>
      <c r="S24" s="39"/>
      <c r="T24" s="39"/>
      <c r="U24" s="39"/>
      <c r="V24" s="39"/>
    </row>
    <row r="25" spans="1:22" ht="18" customHeight="1">
      <c r="A25" s="16">
        <v>13</v>
      </c>
      <c r="B25" s="16">
        <f t="shared" si="7"/>
        <v>17</v>
      </c>
      <c r="C25" s="17" t="s">
        <v>46</v>
      </c>
      <c r="D25" s="18" t="s">
        <v>14</v>
      </c>
      <c r="E25" s="18" t="s">
        <v>14</v>
      </c>
      <c r="F25" s="19">
        <f t="shared" si="1"/>
        <v>1</v>
      </c>
      <c r="G25" s="19">
        <v>30</v>
      </c>
      <c r="H25" s="30">
        <f t="shared" si="2"/>
        <v>30</v>
      </c>
      <c r="I25" s="56" t="s">
        <v>14</v>
      </c>
      <c r="J25" s="19">
        <f t="shared" si="3"/>
        <v>1</v>
      </c>
      <c r="K25" s="19">
        <v>45</v>
      </c>
      <c r="L25" s="21">
        <f t="shared" si="4"/>
        <v>45</v>
      </c>
      <c r="M25" s="57">
        <v>24</v>
      </c>
      <c r="N25" s="58">
        <f t="shared" si="6"/>
        <v>69</v>
      </c>
      <c r="O25" s="21">
        <f t="shared" si="0"/>
        <v>99</v>
      </c>
      <c r="P25" s="39"/>
      <c r="Q25" s="39"/>
      <c r="R25" s="39"/>
      <c r="S25" s="39"/>
      <c r="T25" s="39"/>
      <c r="U25" s="39"/>
      <c r="V25" s="39"/>
    </row>
    <row r="26" spans="1:22" s="1" customFormat="1" ht="15.75" customHeight="1">
      <c r="B26" s="36">
        <f t="shared" si="7"/>
        <v>18</v>
      </c>
      <c r="C26" s="27" t="s">
        <v>47</v>
      </c>
      <c r="D26" s="24" t="s">
        <v>4</v>
      </c>
      <c r="E26" s="24" t="s">
        <v>4</v>
      </c>
      <c r="F26" s="28">
        <f t="shared" si="1"/>
        <v>0</v>
      </c>
      <c r="G26" s="29">
        <v>30</v>
      </c>
      <c r="H26" s="26">
        <f t="shared" si="2"/>
        <v>0</v>
      </c>
      <c r="I26" s="24" t="s">
        <v>4</v>
      </c>
      <c r="J26" s="28">
        <f t="shared" si="3"/>
        <v>0</v>
      </c>
      <c r="K26" s="29">
        <v>45</v>
      </c>
      <c r="L26" s="66">
        <f t="shared" si="4"/>
        <v>0</v>
      </c>
      <c r="M26" s="67">
        <v>27</v>
      </c>
      <c r="N26" s="68">
        <f t="shared" si="6"/>
        <v>27</v>
      </c>
      <c r="O26" s="69">
        <f t="shared" si="0"/>
        <v>27</v>
      </c>
    </row>
    <row r="27" spans="1:22" ht="18" customHeight="1">
      <c r="A27" s="16">
        <v>14</v>
      </c>
      <c r="B27" s="37">
        <f t="shared" si="7"/>
        <v>19</v>
      </c>
      <c r="C27" s="17" t="s">
        <v>48</v>
      </c>
      <c r="D27" s="18" t="s">
        <v>11</v>
      </c>
      <c r="E27" s="18" t="s">
        <v>8</v>
      </c>
      <c r="F27" s="19">
        <f t="shared" si="1"/>
        <v>0.7</v>
      </c>
      <c r="G27" s="19">
        <v>30</v>
      </c>
      <c r="H27" s="30">
        <f t="shared" si="2"/>
        <v>21</v>
      </c>
      <c r="I27" s="56" t="s">
        <v>11</v>
      </c>
      <c r="J27" s="19">
        <f t="shared" si="3"/>
        <v>0.8</v>
      </c>
      <c r="K27" s="19">
        <v>45</v>
      </c>
      <c r="L27" s="21">
        <f t="shared" si="4"/>
        <v>36</v>
      </c>
      <c r="M27" s="57">
        <v>12</v>
      </c>
      <c r="N27" s="58">
        <f t="shared" si="6"/>
        <v>48</v>
      </c>
      <c r="O27" s="21">
        <f t="shared" si="0"/>
        <v>69</v>
      </c>
      <c r="P27" s="39"/>
      <c r="Q27" s="39"/>
      <c r="R27" s="39"/>
      <c r="S27" s="39"/>
      <c r="T27" s="39"/>
      <c r="U27" s="39"/>
      <c r="V27" s="39"/>
    </row>
    <row r="28" spans="1:22" ht="18" customHeight="1">
      <c r="A28" s="16">
        <v>15</v>
      </c>
      <c r="B28" s="37">
        <f t="shared" si="7"/>
        <v>20</v>
      </c>
      <c r="C28" s="17" t="s">
        <v>49</v>
      </c>
      <c r="D28" s="18" t="s">
        <v>14</v>
      </c>
      <c r="E28" s="18" t="s">
        <v>14</v>
      </c>
      <c r="F28" s="19">
        <f t="shared" si="1"/>
        <v>1</v>
      </c>
      <c r="G28" s="19">
        <v>30</v>
      </c>
      <c r="H28" s="30">
        <f t="shared" si="2"/>
        <v>30</v>
      </c>
      <c r="I28" s="56" t="s">
        <v>14</v>
      </c>
      <c r="J28" s="19">
        <f t="shared" si="3"/>
        <v>1</v>
      </c>
      <c r="K28" s="19">
        <v>45</v>
      </c>
      <c r="L28" s="21">
        <f t="shared" si="4"/>
        <v>45</v>
      </c>
      <c r="M28" s="57">
        <v>29</v>
      </c>
      <c r="N28" s="58">
        <f t="shared" si="6"/>
        <v>74</v>
      </c>
      <c r="O28" s="21">
        <f t="shared" si="0"/>
        <v>104</v>
      </c>
      <c r="P28" s="39"/>
      <c r="Q28" s="39"/>
      <c r="R28" s="39"/>
      <c r="S28" s="39"/>
      <c r="T28" s="39"/>
      <c r="U28" s="39"/>
      <c r="V28" s="39"/>
    </row>
    <row r="29" spans="1:22" ht="18" customHeight="1">
      <c r="A29" s="16">
        <v>16</v>
      </c>
      <c r="B29" s="37">
        <f t="shared" si="7"/>
        <v>21</v>
      </c>
      <c r="C29" s="17" t="s">
        <v>50</v>
      </c>
      <c r="D29" s="18" t="s">
        <v>11</v>
      </c>
      <c r="E29" s="18" t="s">
        <v>11</v>
      </c>
      <c r="F29" s="19">
        <f t="shared" si="1"/>
        <v>0.8</v>
      </c>
      <c r="G29" s="19">
        <v>30</v>
      </c>
      <c r="H29" s="30">
        <f t="shared" si="2"/>
        <v>24</v>
      </c>
      <c r="I29" s="56" t="s">
        <v>14</v>
      </c>
      <c r="J29" s="19">
        <f t="shared" si="3"/>
        <v>1</v>
      </c>
      <c r="K29" s="19">
        <v>45</v>
      </c>
      <c r="L29" s="21">
        <f t="shared" si="4"/>
        <v>45</v>
      </c>
      <c r="M29" s="57">
        <v>28</v>
      </c>
      <c r="N29" s="58">
        <f t="shared" si="6"/>
        <v>73</v>
      </c>
      <c r="O29" s="21">
        <f t="shared" si="0"/>
        <v>97</v>
      </c>
      <c r="P29" s="39"/>
      <c r="Q29" s="39"/>
      <c r="R29" s="39"/>
      <c r="S29" s="39"/>
      <c r="T29" s="39"/>
      <c r="U29" s="39"/>
      <c r="V29" s="39"/>
    </row>
    <row r="30" spans="1:22" ht="18" customHeight="1">
      <c r="A30" s="16">
        <v>17</v>
      </c>
      <c r="B30" s="37">
        <f t="shared" si="7"/>
        <v>22</v>
      </c>
      <c r="C30" s="17" t="s">
        <v>51</v>
      </c>
      <c r="D30" s="18" t="s">
        <v>8</v>
      </c>
      <c r="E30" s="18" t="s">
        <v>6</v>
      </c>
      <c r="F30" s="19">
        <f t="shared" si="1"/>
        <v>0.3</v>
      </c>
      <c r="G30" s="19">
        <v>30</v>
      </c>
      <c r="H30" s="30">
        <f t="shared" si="2"/>
        <v>9</v>
      </c>
      <c r="I30" s="56" t="s">
        <v>14</v>
      </c>
      <c r="J30" s="19">
        <f t="shared" si="3"/>
        <v>1</v>
      </c>
      <c r="K30" s="19">
        <v>45</v>
      </c>
      <c r="L30" s="21">
        <f t="shared" si="4"/>
        <v>45</v>
      </c>
      <c r="M30" s="57">
        <v>23</v>
      </c>
      <c r="N30" s="58">
        <f t="shared" si="6"/>
        <v>68</v>
      </c>
      <c r="O30" s="21">
        <f t="shared" si="0"/>
        <v>77</v>
      </c>
      <c r="P30" s="39"/>
      <c r="Q30" s="39"/>
      <c r="R30" s="39"/>
      <c r="S30" s="39"/>
      <c r="T30" s="39"/>
      <c r="U30" s="39"/>
      <c r="V30" s="39"/>
    </row>
    <row r="31" spans="1:22" ht="18" customHeight="1">
      <c r="A31" s="16">
        <v>18</v>
      </c>
      <c r="B31" s="37">
        <f t="shared" si="7"/>
        <v>23</v>
      </c>
      <c r="C31" s="17" t="s">
        <v>52</v>
      </c>
      <c r="D31" s="18" t="s">
        <v>11</v>
      </c>
      <c r="E31" s="18" t="s">
        <v>8</v>
      </c>
      <c r="F31" s="19">
        <f t="shared" si="1"/>
        <v>0.7</v>
      </c>
      <c r="G31" s="19">
        <v>30</v>
      </c>
      <c r="H31" s="30">
        <f t="shared" si="2"/>
        <v>21</v>
      </c>
      <c r="I31" s="56" t="s">
        <v>11</v>
      </c>
      <c r="J31" s="19">
        <f t="shared" si="3"/>
        <v>0.8</v>
      </c>
      <c r="K31" s="19">
        <v>45</v>
      </c>
      <c r="L31" s="21">
        <f t="shared" si="4"/>
        <v>36</v>
      </c>
      <c r="M31" s="57">
        <v>24</v>
      </c>
      <c r="N31" s="58">
        <f t="shared" si="6"/>
        <v>60</v>
      </c>
      <c r="O31" s="21">
        <f t="shared" si="0"/>
        <v>81</v>
      </c>
      <c r="P31" s="39"/>
      <c r="Q31" s="39"/>
      <c r="R31" s="39"/>
      <c r="S31" s="39"/>
      <c r="T31" s="39"/>
      <c r="U31" s="39"/>
      <c r="V31" s="39"/>
    </row>
    <row r="32" spans="1:22" ht="18" customHeight="1">
      <c r="A32" s="16">
        <v>19</v>
      </c>
      <c r="B32" s="37">
        <f t="shared" si="7"/>
        <v>24</v>
      </c>
      <c r="C32" s="17" t="s">
        <v>53</v>
      </c>
      <c r="D32" s="18" t="s">
        <v>11</v>
      </c>
      <c r="E32" s="18" t="s">
        <v>8</v>
      </c>
      <c r="F32" s="19">
        <f t="shared" si="1"/>
        <v>0.7</v>
      </c>
      <c r="G32" s="19">
        <v>30</v>
      </c>
      <c r="H32" s="30">
        <f t="shared" si="2"/>
        <v>21</v>
      </c>
      <c r="I32" s="56" t="s">
        <v>14</v>
      </c>
      <c r="J32" s="19">
        <f t="shared" si="3"/>
        <v>1</v>
      </c>
      <c r="K32" s="19">
        <v>45</v>
      </c>
      <c r="L32" s="21">
        <f t="shared" si="4"/>
        <v>45</v>
      </c>
      <c r="M32" s="57">
        <v>19</v>
      </c>
      <c r="N32" s="58">
        <f t="shared" si="6"/>
        <v>64</v>
      </c>
      <c r="O32" s="21">
        <f t="shared" si="0"/>
        <v>85</v>
      </c>
      <c r="P32" s="39"/>
      <c r="Q32" s="39"/>
      <c r="R32" s="39"/>
      <c r="S32" s="39"/>
      <c r="T32" s="39"/>
      <c r="U32" s="39"/>
      <c r="V32" s="39"/>
    </row>
    <row r="33" spans="1:22" ht="18" customHeight="1">
      <c r="A33" s="16">
        <v>23</v>
      </c>
      <c r="B33" s="37">
        <f t="shared" si="7"/>
        <v>25</v>
      </c>
      <c r="C33" s="17" t="s">
        <v>54</v>
      </c>
      <c r="D33" s="18" t="s">
        <v>4</v>
      </c>
      <c r="E33" s="18" t="s">
        <v>4</v>
      </c>
      <c r="F33" s="19">
        <f t="shared" ref="F33:F50" si="9">(0.5*(IF(E33="AB",0,(IF(E33="NA",0,(IF(E33="P",0.6,(IF(E33="M",0.8,(IF(E33="D",1,"False Entry")))))))))))+(0.5*(IF(D33="AB",0,(IF(D33="NA",0,(IF(D33="P",0.6,(IF(D33="M",0.8,(IF(D33="D",1,"False Entry")))))))))))</f>
        <v>0</v>
      </c>
      <c r="G33" s="19">
        <v>30</v>
      </c>
      <c r="H33" s="30">
        <f t="shared" ref="H33:H50" si="10">ROUNDUP(F33*G33,0)</f>
        <v>0</v>
      </c>
      <c r="I33" s="56" t="s">
        <v>4</v>
      </c>
      <c r="J33" s="19">
        <f t="shared" ref="J33:J50" si="11">(IF(I33="AB",0,IF(I33="NA",0,IF(I33="P",0.6,IF(I33="M",0.8,IF(I33="D",1,"False Entry"))))))</f>
        <v>0</v>
      </c>
      <c r="K33" s="19">
        <v>45</v>
      </c>
      <c r="L33" s="21">
        <f t="shared" ref="L33:L50" si="12">J33*K33</f>
        <v>0</v>
      </c>
      <c r="M33" s="57">
        <v>0</v>
      </c>
      <c r="N33" s="58">
        <f t="shared" ref="N33:N50" si="13">ROUNDUP(M33+L33,0)</f>
        <v>0</v>
      </c>
      <c r="O33" s="21">
        <f t="shared" ref="O33:O50" si="14">H33+N33</f>
        <v>0</v>
      </c>
      <c r="P33" s="39"/>
      <c r="Q33" s="39"/>
      <c r="R33" s="39"/>
      <c r="S33" s="39"/>
      <c r="T33" s="39"/>
      <c r="U33" s="39"/>
      <c r="V33" s="39"/>
    </row>
    <row r="34" spans="1:22" ht="18" customHeight="1">
      <c r="A34" s="16">
        <v>24</v>
      </c>
      <c r="B34" s="37">
        <f t="shared" si="7"/>
        <v>26</v>
      </c>
      <c r="C34" s="17" t="s">
        <v>55</v>
      </c>
      <c r="D34" s="18" t="s">
        <v>11</v>
      </c>
      <c r="E34" s="18" t="s">
        <v>6</v>
      </c>
      <c r="F34" s="19">
        <f t="shared" si="9"/>
        <v>0.4</v>
      </c>
      <c r="G34" s="19">
        <v>30</v>
      </c>
      <c r="H34" s="30">
        <f t="shared" si="10"/>
        <v>12</v>
      </c>
      <c r="I34" s="56" t="s">
        <v>14</v>
      </c>
      <c r="J34" s="19">
        <f t="shared" si="11"/>
        <v>1</v>
      </c>
      <c r="K34" s="19">
        <v>45</v>
      </c>
      <c r="L34" s="21">
        <f t="shared" si="12"/>
        <v>45</v>
      </c>
      <c r="M34" s="57">
        <v>21</v>
      </c>
      <c r="N34" s="58">
        <f t="shared" si="13"/>
        <v>66</v>
      </c>
      <c r="O34" s="21">
        <f t="shared" si="14"/>
        <v>78</v>
      </c>
      <c r="P34" s="39"/>
      <c r="Q34" s="39"/>
      <c r="R34" s="39"/>
      <c r="S34" s="39"/>
      <c r="T34" s="39"/>
      <c r="U34" s="39"/>
      <c r="V34" s="39"/>
    </row>
    <row r="35" spans="1:22" ht="18" customHeight="1">
      <c r="A35" s="16">
        <v>25</v>
      </c>
      <c r="B35" s="37">
        <f t="shared" si="7"/>
        <v>27</v>
      </c>
      <c r="C35" s="17" t="s">
        <v>56</v>
      </c>
      <c r="D35" s="18" t="s">
        <v>14</v>
      </c>
      <c r="E35" s="18" t="s">
        <v>14</v>
      </c>
      <c r="F35" s="19">
        <f t="shared" si="9"/>
        <v>1</v>
      </c>
      <c r="G35" s="19">
        <v>30</v>
      </c>
      <c r="H35" s="30">
        <f t="shared" si="10"/>
        <v>30</v>
      </c>
      <c r="I35" s="56" t="s">
        <v>14</v>
      </c>
      <c r="J35" s="19">
        <f t="shared" si="11"/>
        <v>1</v>
      </c>
      <c r="K35" s="19">
        <v>45</v>
      </c>
      <c r="L35" s="21">
        <f t="shared" si="12"/>
        <v>45</v>
      </c>
      <c r="M35" s="57">
        <v>29</v>
      </c>
      <c r="N35" s="58">
        <f t="shared" si="13"/>
        <v>74</v>
      </c>
      <c r="O35" s="21">
        <f t="shared" si="14"/>
        <v>104</v>
      </c>
      <c r="P35" s="39"/>
      <c r="Q35" s="39"/>
      <c r="R35" s="39"/>
      <c r="S35" s="39"/>
      <c r="T35" s="39"/>
      <c r="U35" s="39"/>
      <c r="V35" s="39"/>
    </row>
    <row r="36" spans="1:22" ht="18" customHeight="1">
      <c r="A36" s="16">
        <v>26</v>
      </c>
      <c r="B36" s="37">
        <f t="shared" si="7"/>
        <v>28</v>
      </c>
      <c r="C36" s="17" t="s">
        <v>57</v>
      </c>
      <c r="D36" s="18" t="s">
        <v>11</v>
      </c>
      <c r="E36" s="18" t="s">
        <v>6</v>
      </c>
      <c r="F36" s="19">
        <f t="shared" si="9"/>
        <v>0.4</v>
      </c>
      <c r="G36" s="19">
        <v>30</v>
      </c>
      <c r="H36" s="30">
        <f t="shared" si="10"/>
        <v>12</v>
      </c>
      <c r="I36" s="56" t="s">
        <v>11</v>
      </c>
      <c r="J36" s="19">
        <f t="shared" si="11"/>
        <v>0.8</v>
      </c>
      <c r="K36" s="19">
        <v>45</v>
      </c>
      <c r="L36" s="21">
        <f t="shared" si="12"/>
        <v>36</v>
      </c>
      <c r="M36" s="57">
        <v>8</v>
      </c>
      <c r="N36" s="58">
        <f t="shared" si="13"/>
        <v>44</v>
      </c>
      <c r="O36" s="21">
        <f t="shared" si="14"/>
        <v>56</v>
      </c>
      <c r="P36" s="39"/>
      <c r="Q36" s="39"/>
      <c r="R36" s="39"/>
      <c r="S36" s="39"/>
      <c r="T36" s="39"/>
      <c r="U36" s="39"/>
      <c r="V36" s="39"/>
    </row>
    <row r="37" spans="1:22" ht="18" customHeight="1">
      <c r="A37" s="16">
        <v>27</v>
      </c>
      <c r="B37" s="37">
        <f t="shared" si="7"/>
        <v>29</v>
      </c>
      <c r="C37" s="17" t="s">
        <v>58</v>
      </c>
      <c r="D37" s="18" t="s">
        <v>11</v>
      </c>
      <c r="E37" s="18" t="s">
        <v>6</v>
      </c>
      <c r="F37" s="19">
        <f t="shared" si="9"/>
        <v>0.4</v>
      </c>
      <c r="G37" s="19">
        <v>30</v>
      </c>
      <c r="H37" s="30">
        <f t="shared" si="10"/>
        <v>12</v>
      </c>
      <c r="I37" s="56" t="s">
        <v>14</v>
      </c>
      <c r="J37" s="19">
        <f t="shared" si="11"/>
        <v>1</v>
      </c>
      <c r="K37" s="19">
        <v>45</v>
      </c>
      <c r="L37" s="21">
        <f t="shared" si="12"/>
        <v>45</v>
      </c>
      <c r="M37" s="57">
        <v>10</v>
      </c>
      <c r="N37" s="58">
        <f t="shared" si="13"/>
        <v>55</v>
      </c>
      <c r="O37" s="21">
        <f t="shared" si="14"/>
        <v>67</v>
      </c>
      <c r="P37" s="39"/>
      <c r="Q37" s="39"/>
      <c r="R37" s="39"/>
      <c r="S37" s="39"/>
      <c r="T37" s="39"/>
      <c r="U37" s="39"/>
      <c r="V37" s="39"/>
    </row>
    <row r="38" spans="1:22" ht="18" customHeight="1">
      <c r="A38" s="16">
        <v>29</v>
      </c>
      <c r="B38" s="37">
        <f t="shared" si="7"/>
        <v>30</v>
      </c>
      <c r="C38" s="17" t="s">
        <v>59</v>
      </c>
      <c r="D38" s="18" t="s">
        <v>11</v>
      </c>
      <c r="E38" s="18" t="s">
        <v>6</v>
      </c>
      <c r="F38" s="19">
        <f t="shared" si="9"/>
        <v>0.4</v>
      </c>
      <c r="G38" s="19">
        <v>30</v>
      </c>
      <c r="H38" s="30">
        <f t="shared" si="10"/>
        <v>12</v>
      </c>
      <c r="I38" s="56" t="s">
        <v>11</v>
      </c>
      <c r="J38" s="19">
        <f t="shared" si="11"/>
        <v>0.8</v>
      </c>
      <c r="K38" s="19">
        <v>45</v>
      </c>
      <c r="L38" s="21">
        <f t="shared" si="12"/>
        <v>36</v>
      </c>
      <c r="M38" s="57">
        <v>5</v>
      </c>
      <c r="N38" s="58">
        <f t="shared" si="13"/>
        <v>41</v>
      </c>
      <c r="O38" s="21">
        <f t="shared" si="14"/>
        <v>53</v>
      </c>
      <c r="P38" s="39"/>
      <c r="Q38" s="39"/>
      <c r="R38" s="39"/>
      <c r="S38" s="39"/>
      <c r="T38" s="39"/>
      <c r="U38" s="39"/>
      <c r="V38" s="39"/>
    </row>
    <row r="39" spans="1:22" ht="18" customHeight="1">
      <c r="A39" s="16">
        <v>30</v>
      </c>
      <c r="B39" s="37">
        <f t="shared" si="7"/>
        <v>31</v>
      </c>
      <c r="C39" s="17" t="s">
        <v>60</v>
      </c>
      <c r="D39" s="18" t="s">
        <v>6</v>
      </c>
      <c r="E39" s="18" t="s">
        <v>8</v>
      </c>
      <c r="F39" s="19">
        <f t="shared" si="9"/>
        <v>0.3</v>
      </c>
      <c r="G39" s="19">
        <v>30</v>
      </c>
      <c r="H39" s="30">
        <f t="shared" si="10"/>
        <v>9</v>
      </c>
      <c r="I39" s="56" t="s">
        <v>14</v>
      </c>
      <c r="J39" s="19">
        <f t="shared" si="11"/>
        <v>1</v>
      </c>
      <c r="K39" s="19">
        <v>45</v>
      </c>
      <c r="L39" s="21">
        <f t="shared" si="12"/>
        <v>45</v>
      </c>
      <c r="M39" s="57">
        <v>18</v>
      </c>
      <c r="N39" s="58">
        <f t="shared" si="13"/>
        <v>63</v>
      </c>
      <c r="O39" s="21">
        <f t="shared" si="14"/>
        <v>72</v>
      </c>
      <c r="P39" s="39"/>
      <c r="Q39" s="39"/>
      <c r="R39" s="39"/>
      <c r="S39" s="39"/>
      <c r="T39" s="39"/>
      <c r="U39" s="39"/>
      <c r="V39" s="39"/>
    </row>
    <row r="40" spans="1:22" ht="18" customHeight="1">
      <c r="A40" s="16">
        <v>31</v>
      </c>
      <c r="B40" s="37">
        <f t="shared" si="7"/>
        <v>32</v>
      </c>
      <c r="C40" s="17" t="s">
        <v>61</v>
      </c>
      <c r="D40" s="18" t="s">
        <v>11</v>
      </c>
      <c r="E40" s="18" t="s">
        <v>8</v>
      </c>
      <c r="F40" s="19">
        <f t="shared" si="9"/>
        <v>0.7</v>
      </c>
      <c r="G40" s="19">
        <v>30</v>
      </c>
      <c r="H40" s="30">
        <f t="shared" si="10"/>
        <v>21</v>
      </c>
      <c r="I40" s="56" t="s">
        <v>11</v>
      </c>
      <c r="J40" s="19">
        <f t="shared" si="11"/>
        <v>0.8</v>
      </c>
      <c r="K40" s="19">
        <v>45</v>
      </c>
      <c r="L40" s="21">
        <f t="shared" si="12"/>
        <v>36</v>
      </c>
      <c r="M40" s="57">
        <v>23</v>
      </c>
      <c r="N40" s="58">
        <f t="shared" si="13"/>
        <v>59</v>
      </c>
      <c r="O40" s="21">
        <f t="shared" si="14"/>
        <v>80</v>
      </c>
      <c r="P40" s="39"/>
      <c r="Q40" s="39"/>
      <c r="R40" s="39"/>
      <c r="S40" s="39"/>
      <c r="T40" s="39"/>
      <c r="U40" s="39"/>
      <c r="V40" s="39"/>
    </row>
    <row r="41" spans="1:22" ht="18" customHeight="1">
      <c r="A41" s="16">
        <v>32</v>
      </c>
      <c r="B41" s="37">
        <f t="shared" si="7"/>
        <v>33</v>
      </c>
      <c r="C41" s="17" t="s">
        <v>62</v>
      </c>
      <c r="D41" s="18" t="s">
        <v>11</v>
      </c>
      <c r="E41" s="18" t="s">
        <v>8</v>
      </c>
      <c r="F41" s="19">
        <f t="shared" si="9"/>
        <v>0.7</v>
      </c>
      <c r="G41" s="19">
        <v>30</v>
      </c>
      <c r="H41" s="30">
        <f t="shared" si="10"/>
        <v>21</v>
      </c>
      <c r="I41" s="56" t="s">
        <v>14</v>
      </c>
      <c r="J41" s="19">
        <f t="shared" si="11"/>
        <v>1</v>
      </c>
      <c r="K41" s="19">
        <v>45</v>
      </c>
      <c r="L41" s="21">
        <f t="shared" si="12"/>
        <v>45</v>
      </c>
      <c r="M41" s="57">
        <v>20</v>
      </c>
      <c r="N41" s="58">
        <f t="shared" si="13"/>
        <v>65</v>
      </c>
      <c r="O41" s="21">
        <f t="shared" si="14"/>
        <v>86</v>
      </c>
      <c r="P41" s="39"/>
      <c r="Q41" s="39"/>
      <c r="R41" s="39"/>
      <c r="S41" s="39"/>
      <c r="T41" s="39"/>
      <c r="U41" s="39"/>
      <c r="V41" s="39"/>
    </row>
    <row r="42" spans="1:22" ht="18" customHeight="1">
      <c r="A42" s="16">
        <v>33</v>
      </c>
      <c r="B42" s="37">
        <f t="shared" si="7"/>
        <v>34</v>
      </c>
      <c r="C42" s="17" t="s">
        <v>63</v>
      </c>
      <c r="D42" s="18" t="s">
        <v>11</v>
      </c>
      <c r="E42" s="18" t="s">
        <v>14</v>
      </c>
      <c r="F42" s="19">
        <f t="shared" si="9"/>
        <v>0.9</v>
      </c>
      <c r="G42" s="19">
        <v>30</v>
      </c>
      <c r="H42" s="30">
        <f t="shared" si="10"/>
        <v>27</v>
      </c>
      <c r="I42" s="56" t="s">
        <v>14</v>
      </c>
      <c r="J42" s="19">
        <f t="shared" si="11"/>
        <v>1</v>
      </c>
      <c r="K42" s="19">
        <v>45</v>
      </c>
      <c r="L42" s="21">
        <f t="shared" si="12"/>
        <v>45</v>
      </c>
      <c r="M42" s="57">
        <v>27</v>
      </c>
      <c r="N42" s="58">
        <f t="shared" si="13"/>
        <v>72</v>
      </c>
      <c r="O42" s="21">
        <f t="shared" si="14"/>
        <v>99</v>
      </c>
      <c r="P42" s="39"/>
      <c r="Q42" s="39"/>
      <c r="R42" s="39"/>
      <c r="S42" s="39"/>
      <c r="T42" s="39"/>
      <c r="U42" s="39"/>
      <c r="V42" s="39"/>
    </row>
    <row r="43" spans="1:22" ht="18" customHeight="1">
      <c r="A43" s="16">
        <v>34</v>
      </c>
      <c r="B43" s="37">
        <f t="shared" si="7"/>
        <v>35</v>
      </c>
      <c r="C43" s="17" t="s">
        <v>64</v>
      </c>
      <c r="D43" s="18" t="s">
        <v>11</v>
      </c>
      <c r="E43" s="18" t="s">
        <v>11</v>
      </c>
      <c r="F43" s="19">
        <f t="shared" si="9"/>
        <v>0.8</v>
      </c>
      <c r="G43" s="19">
        <v>30</v>
      </c>
      <c r="H43" s="30">
        <f t="shared" si="10"/>
        <v>24</v>
      </c>
      <c r="I43" s="56" t="s">
        <v>14</v>
      </c>
      <c r="J43" s="19">
        <f t="shared" si="11"/>
        <v>1</v>
      </c>
      <c r="K43" s="19">
        <v>45</v>
      </c>
      <c r="L43" s="21">
        <f t="shared" si="12"/>
        <v>45</v>
      </c>
      <c r="M43" s="57">
        <v>27</v>
      </c>
      <c r="N43" s="58">
        <f t="shared" si="13"/>
        <v>72</v>
      </c>
      <c r="O43" s="21">
        <f t="shared" si="14"/>
        <v>96</v>
      </c>
      <c r="P43" s="39"/>
      <c r="Q43" s="39"/>
      <c r="R43" s="39"/>
      <c r="S43" s="39"/>
      <c r="T43" s="39"/>
      <c r="U43" s="39"/>
      <c r="V43" s="39"/>
    </row>
    <row r="44" spans="1:22" ht="18" customHeight="1">
      <c r="A44" s="16">
        <v>35</v>
      </c>
      <c r="B44" s="37">
        <f t="shared" si="7"/>
        <v>36</v>
      </c>
      <c r="C44" s="17" t="s">
        <v>65</v>
      </c>
      <c r="D44" s="18" t="s">
        <v>11</v>
      </c>
      <c r="E44" s="18" t="s">
        <v>6</v>
      </c>
      <c r="F44" s="19">
        <f t="shared" si="9"/>
        <v>0.4</v>
      </c>
      <c r="G44" s="19">
        <v>30</v>
      </c>
      <c r="H44" s="30">
        <f t="shared" si="10"/>
        <v>12</v>
      </c>
      <c r="I44" s="56" t="s">
        <v>14</v>
      </c>
      <c r="J44" s="19">
        <f t="shared" si="11"/>
        <v>1</v>
      </c>
      <c r="K44" s="19">
        <v>45</v>
      </c>
      <c r="L44" s="21">
        <f t="shared" si="12"/>
        <v>45</v>
      </c>
      <c r="M44" s="57">
        <v>28</v>
      </c>
      <c r="N44" s="58">
        <f t="shared" si="13"/>
        <v>73</v>
      </c>
      <c r="O44" s="21">
        <f t="shared" si="14"/>
        <v>85</v>
      </c>
      <c r="P44" s="39"/>
      <c r="Q44" s="39"/>
      <c r="R44" s="39"/>
      <c r="S44" s="39"/>
      <c r="T44" s="39"/>
      <c r="U44" s="39"/>
      <c r="V44" s="39"/>
    </row>
    <row r="45" spans="1:22" s="3" customFormat="1" ht="18" customHeight="1">
      <c r="A45" s="37">
        <v>36</v>
      </c>
      <c r="B45" s="37">
        <f t="shared" si="7"/>
        <v>37</v>
      </c>
      <c r="C45" s="17" t="s">
        <v>66</v>
      </c>
      <c r="D45" s="18" t="s">
        <v>4</v>
      </c>
      <c r="E45" s="18" t="s">
        <v>4</v>
      </c>
      <c r="F45" s="38">
        <f t="shared" si="9"/>
        <v>0</v>
      </c>
      <c r="G45" s="38">
        <v>30</v>
      </c>
      <c r="H45" s="30">
        <f t="shared" si="10"/>
        <v>0</v>
      </c>
      <c r="I45" s="56" t="s">
        <v>4</v>
      </c>
      <c r="J45" s="19">
        <f t="shared" si="11"/>
        <v>0</v>
      </c>
      <c r="K45" s="38">
        <v>45</v>
      </c>
      <c r="L45" s="57">
        <f t="shared" si="12"/>
        <v>0</v>
      </c>
      <c r="M45" s="57">
        <v>0</v>
      </c>
      <c r="N45" s="58">
        <f t="shared" si="13"/>
        <v>0</v>
      </c>
      <c r="O45" s="57">
        <f t="shared" si="14"/>
        <v>0</v>
      </c>
      <c r="P45" s="75"/>
      <c r="Q45" s="75"/>
      <c r="R45" s="75"/>
      <c r="S45" s="75"/>
      <c r="T45" s="75"/>
      <c r="U45" s="75"/>
      <c r="V45" s="75"/>
    </row>
    <row r="46" spans="1:22" ht="18" customHeight="1">
      <c r="A46" s="16">
        <v>37</v>
      </c>
      <c r="B46" s="37">
        <f t="shared" si="7"/>
        <v>38</v>
      </c>
      <c r="C46" s="17" t="s">
        <v>67</v>
      </c>
      <c r="D46" s="18" t="s">
        <v>14</v>
      </c>
      <c r="E46" s="18" t="s">
        <v>11</v>
      </c>
      <c r="F46" s="19">
        <f t="shared" si="9"/>
        <v>0.9</v>
      </c>
      <c r="G46" s="19">
        <v>30</v>
      </c>
      <c r="H46" s="30">
        <f t="shared" si="10"/>
        <v>27</v>
      </c>
      <c r="I46" s="56" t="s">
        <v>14</v>
      </c>
      <c r="J46" s="19">
        <f t="shared" si="11"/>
        <v>1</v>
      </c>
      <c r="K46" s="19">
        <v>45</v>
      </c>
      <c r="L46" s="21">
        <f t="shared" si="12"/>
        <v>45</v>
      </c>
      <c r="M46" s="57">
        <v>7</v>
      </c>
      <c r="N46" s="58">
        <f t="shared" si="13"/>
        <v>52</v>
      </c>
      <c r="O46" s="21">
        <f t="shared" si="14"/>
        <v>79</v>
      </c>
      <c r="P46" s="39"/>
      <c r="Q46" s="39"/>
      <c r="R46" s="39"/>
      <c r="S46" s="39"/>
      <c r="T46" s="39"/>
      <c r="U46" s="39"/>
      <c r="V46" s="39"/>
    </row>
    <row r="47" spans="1:22" ht="21" customHeight="1">
      <c r="A47" s="16">
        <v>39</v>
      </c>
      <c r="B47" s="37">
        <f t="shared" si="7"/>
        <v>39</v>
      </c>
      <c r="C47" s="17" t="s">
        <v>68</v>
      </c>
      <c r="D47" s="18" t="s">
        <v>11</v>
      </c>
      <c r="E47" s="18" t="s">
        <v>11</v>
      </c>
      <c r="F47" s="19">
        <f t="shared" si="9"/>
        <v>0.8</v>
      </c>
      <c r="G47" s="19">
        <v>30</v>
      </c>
      <c r="H47" s="30">
        <f t="shared" si="10"/>
        <v>24</v>
      </c>
      <c r="I47" s="56" t="s">
        <v>14</v>
      </c>
      <c r="J47" s="19">
        <f t="shared" si="11"/>
        <v>1</v>
      </c>
      <c r="K47" s="19">
        <v>45</v>
      </c>
      <c r="L47" s="21">
        <f t="shared" si="12"/>
        <v>45</v>
      </c>
      <c r="M47" s="57">
        <v>28</v>
      </c>
      <c r="N47" s="58">
        <f t="shared" si="13"/>
        <v>73</v>
      </c>
      <c r="O47" s="21">
        <f t="shared" si="14"/>
        <v>97</v>
      </c>
      <c r="P47" s="39"/>
      <c r="Q47" s="39"/>
      <c r="R47" s="39"/>
      <c r="S47" s="39"/>
      <c r="T47" s="39"/>
      <c r="U47" s="39"/>
      <c r="V47" s="39"/>
    </row>
    <row r="48" spans="1:22" ht="18" customHeight="1">
      <c r="A48" s="16">
        <v>41</v>
      </c>
      <c r="B48" s="37">
        <f t="shared" si="7"/>
        <v>40</v>
      </c>
      <c r="C48" s="17" t="s">
        <v>69</v>
      </c>
      <c r="D48" s="18" t="s">
        <v>4</v>
      </c>
      <c r="E48" s="18" t="s">
        <v>4</v>
      </c>
      <c r="F48" s="19">
        <f t="shared" si="9"/>
        <v>0</v>
      </c>
      <c r="G48" s="19">
        <v>30</v>
      </c>
      <c r="H48" s="30">
        <f t="shared" si="10"/>
        <v>0</v>
      </c>
      <c r="I48" s="56" t="s">
        <v>4</v>
      </c>
      <c r="J48" s="19">
        <f t="shared" si="11"/>
        <v>0</v>
      </c>
      <c r="K48" s="19">
        <v>45</v>
      </c>
      <c r="L48" s="21">
        <f t="shared" si="12"/>
        <v>0</v>
      </c>
      <c r="M48" s="57">
        <v>0</v>
      </c>
      <c r="N48" s="58">
        <f t="shared" si="13"/>
        <v>0</v>
      </c>
      <c r="O48" s="21">
        <f t="shared" si="14"/>
        <v>0</v>
      </c>
      <c r="P48" s="39"/>
      <c r="Q48" s="39"/>
      <c r="R48" s="39"/>
      <c r="S48" s="39"/>
      <c r="T48" s="39"/>
      <c r="U48" s="39"/>
      <c r="V48" s="39"/>
    </row>
    <row r="49" spans="1:22" ht="18" customHeight="1">
      <c r="A49" s="16">
        <v>42</v>
      </c>
      <c r="B49" s="37">
        <f t="shared" si="7"/>
        <v>41</v>
      </c>
      <c r="C49" s="17" t="s">
        <v>70</v>
      </c>
      <c r="D49" s="18" t="s">
        <v>11</v>
      </c>
      <c r="E49" s="18" t="s">
        <v>14</v>
      </c>
      <c r="F49" s="19">
        <f t="shared" si="9"/>
        <v>0.9</v>
      </c>
      <c r="G49" s="19">
        <v>30</v>
      </c>
      <c r="H49" s="30">
        <f t="shared" si="10"/>
        <v>27</v>
      </c>
      <c r="I49" s="56" t="s">
        <v>14</v>
      </c>
      <c r="J49" s="19">
        <f t="shared" si="11"/>
        <v>1</v>
      </c>
      <c r="K49" s="19">
        <v>45</v>
      </c>
      <c r="L49" s="21">
        <f t="shared" si="12"/>
        <v>45</v>
      </c>
      <c r="M49" s="57">
        <v>18</v>
      </c>
      <c r="N49" s="58">
        <f t="shared" si="13"/>
        <v>63</v>
      </c>
      <c r="O49" s="21">
        <f t="shared" si="14"/>
        <v>90</v>
      </c>
      <c r="P49" s="39"/>
      <c r="Q49" s="39"/>
      <c r="R49" s="39"/>
      <c r="S49" s="39"/>
      <c r="T49" s="39"/>
      <c r="U49" s="39"/>
      <c r="V49" s="39"/>
    </row>
    <row r="50" spans="1:22" ht="18" customHeight="1">
      <c r="A50" s="16">
        <v>43</v>
      </c>
      <c r="B50" s="37">
        <f t="shared" si="7"/>
        <v>42</v>
      </c>
      <c r="C50" s="17" t="s">
        <v>71</v>
      </c>
      <c r="D50" s="18" t="s">
        <v>14</v>
      </c>
      <c r="E50" s="18" t="s">
        <v>14</v>
      </c>
      <c r="F50" s="19">
        <f t="shared" si="9"/>
        <v>1</v>
      </c>
      <c r="G50" s="19">
        <v>30</v>
      </c>
      <c r="H50" s="30">
        <f t="shared" si="10"/>
        <v>30</v>
      </c>
      <c r="I50" s="56" t="s">
        <v>14</v>
      </c>
      <c r="J50" s="19">
        <f t="shared" si="11"/>
        <v>1</v>
      </c>
      <c r="K50" s="19">
        <v>45</v>
      </c>
      <c r="L50" s="21">
        <f t="shared" si="12"/>
        <v>45</v>
      </c>
      <c r="M50" s="57">
        <v>29</v>
      </c>
      <c r="N50" s="58">
        <f t="shared" si="13"/>
        <v>74</v>
      </c>
      <c r="O50" s="21">
        <f t="shared" si="14"/>
        <v>104</v>
      </c>
      <c r="P50" s="39"/>
      <c r="Q50" s="39"/>
      <c r="R50" s="39"/>
      <c r="S50" s="39"/>
      <c r="T50" s="39"/>
      <c r="U50" s="39"/>
      <c r="V50" s="39"/>
    </row>
    <row r="51" spans="1:22" ht="18" customHeight="1">
      <c r="A51" s="16">
        <v>44</v>
      </c>
      <c r="B51" s="37">
        <f t="shared" si="7"/>
        <v>43</v>
      </c>
      <c r="C51" s="17" t="s">
        <v>72</v>
      </c>
      <c r="D51" s="18" t="s">
        <v>11</v>
      </c>
      <c r="E51" s="18" t="s">
        <v>8</v>
      </c>
      <c r="F51" s="19">
        <f t="shared" si="1"/>
        <v>0.7</v>
      </c>
      <c r="G51" s="19">
        <v>30</v>
      </c>
      <c r="H51" s="30">
        <f t="shared" si="2"/>
        <v>21</v>
      </c>
      <c r="I51" s="56" t="s">
        <v>11</v>
      </c>
      <c r="J51" s="19">
        <f t="shared" si="3"/>
        <v>0.8</v>
      </c>
      <c r="K51" s="19">
        <v>45</v>
      </c>
      <c r="L51" s="21">
        <f t="shared" si="4"/>
        <v>36</v>
      </c>
      <c r="M51" s="57">
        <v>30</v>
      </c>
      <c r="N51" s="58">
        <f t="shared" ref="N51:N84" si="15">ROUNDUP(M51+L51,0)</f>
        <v>66</v>
      </c>
      <c r="O51" s="21">
        <f t="shared" ref="O51:O69" si="16">H51+N51</f>
        <v>87</v>
      </c>
      <c r="P51" s="39"/>
      <c r="Q51" s="39"/>
      <c r="R51" s="39"/>
      <c r="S51" s="39"/>
      <c r="T51" s="39"/>
      <c r="U51" s="39"/>
      <c r="V51" s="39"/>
    </row>
    <row r="52" spans="1:22" ht="18" customHeight="1">
      <c r="A52" s="16">
        <v>45</v>
      </c>
      <c r="B52" s="37">
        <f t="shared" si="7"/>
        <v>44</v>
      </c>
      <c r="C52" s="17" t="s">
        <v>73</v>
      </c>
      <c r="D52" s="18" t="s">
        <v>11</v>
      </c>
      <c r="E52" s="18" t="s">
        <v>11</v>
      </c>
      <c r="F52" s="19">
        <f t="shared" si="1"/>
        <v>0.8</v>
      </c>
      <c r="G52" s="19">
        <v>30</v>
      </c>
      <c r="H52" s="30">
        <f t="shared" si="2"/>
        <v>24</v>
      </c>
      <c r="I52" s="56" t="s">
        <v>14</v>
      </c>
      <c r="J52" s="19">
        <f t="shared" si="3"/>
        <v>1</v>
      </c>
      <c r="K52" s="19">
        <v>45</v>
      </c>
      <c r="L52" s="21">
        <f t="shared" si="4"/>
        <v>45</v>
      </c>
      <c r="M52" s="57">
        <v>29</v>
      </c>
      <c r="N52" s="58">
        <f t="shared" si="15"/>
        <v>74</v>
      </c>
      <c r="O52" s="21">
        <f t="shared" si="16"/>
        <v>98</v>
      </c>
      <c r="P52" s="39"/>
      <c r="Q52" s="39"/>
      <c r="R52" s="39"/>
      <c r="S52" s="39"/>
      <c r="T52" s="39"/>
      <c r="U52" s="39"/>
      <c r="V52" s="39"/>
    </row>
    <row r="53" spans="1:22" ht="18" customHeight="1">
      <c r="A53" s="16">
        <v>46</v>
      </c>
      <c r="B53" s="37">
        <f t="shared" si="7"/>
        <v>45</v>
      </c>
      <c r="C53" s="17" t="s">
        <v>74</v>
      </c>
      <c r="D53" s="18" t="s">
        <v>6</v>
      </c>
      <c r="E53" s="18" t="s">
        <v>6</v>
      </c>
      <c r="F53" s="19">
        <f t="shared" si="1"/>
        <v>0</v>
      </c>
      <c r="G53" s="19">
        <v>30</v>
      </c>
      <c r="H53" s="30">
        <f t="shared" si="2"/>
        <v>0</v>
      </c>
      <c r="I53" s="56" t="s">
        <v>14</v>
      </c>
      <c r="J53" s="19">
        <f t="shared" si="3"/>
        <v>1</v>
      </c>
      <c r="K53" s="19">
        <v>45</v>
      </c>
      <c r="L53" s="21">
        <f t="shared" si="4"/>
        <v>45</v>
      </c>
      <c r="M53" s="57">
        <v>0</v>
      </c>
      <c r="N53" s="58">
        <f t="shared" si="15"/>
        <v>45</v>
      </c>
      <c r="O53" s="21">
        <f t="shared" si="16"/>
        <v>45</v>
      </c>
      <c r="P53" s="39"/>
      <c r="Q53" s="39"/>
      <c r="R53" s="39"/>
      <c r="S53" s="39"/>
      <c r="T53" s="39"/>
      <c r="U53" s="39"/>
      <c r="V53" s="39"/>
    </row>
    <row r="54" spans="1:22" ht="18" customHeight="1">
      <c r="A54" s="16">
        <v>49</v>
      </c>
      <c r="B54" s="37">
        <f t="shared" si="7"/>
        <v>46</v>
      </c>
      <c r="C54" s="17" t="s">
        <v>75</v>
      </c>
      <c r="D54" s="18" t="s">
        <v>14</v>
      </c>
      <c r="E54" s="18" t="s">
        <v>8</v>
      </c>
      <c r="F54" s="19">
        <f t="shared" si="1"/>
        <v>0.8</v>
      </c>
      <c r="G54" s="19">
        <v>30</v>
      </c>
      <c r="H54" s="30">
        <f t="shared" si="2"/>
        <v>24</v>
      </c>
      <c r="I54" s="56" t="s">
        <v>14</v>
      </c>
      <c r="J54" s="19">
        <f t="shared" si="3"/>
        <v>1</v>
      </c>
      <c r="K54" s="19">
        <v>45</v>
      </c>
      <c r="L54" s="21">
        <f t="shared" si="4"/>
        <v>45</v>
      </c>
      <c r="M54" s="57">
        <v>8</v>
      </c>
      <c r="N54" s="58">
        <f t="shared" si="15"/>
        <v>53</v>
      </c>
      <c r="O54" s="21">
        <f t="shared" si="16"/>
        <v>77</v>
      </c>
      <c r="P54" s="39"/>
      <c r="Q54" s="39"/>
      <c r="R54" s="39"/>
      <c r="S54" s="39"/>
      <c r="T54" s="39"/>
      <c r="U54" s="39"/>
      <c r="V54" s="39"/>
    </row>
    <row r="55" spans="1:22" ht="18" customHeight="1">
      <c r="A55" s="16">
        <v>51</v>
      </c>
      <c r="B55" s="37">
        <f t="shared" si="7"/>
        <v>47</v>
      </c>
      <c r="C55" s="17" t="s">
        <v>76</v>
      </c>
      <c r="D55" s="18" t="s">
        <v>11</v>
      </c>
      <c r="E55" s="18" t="s">
        <v>8</v>
      </c>
      <c r="F55" s="19">
        <f t="shared" si="1"/>
        <v>0.7</v>
      </c>
      <c r="G55" s="19">
        <v>30</v>
      </c>
      <c r="H55" s="30">
        <f t="shared" si="2"/>
        <v>21</v>
      </c>
      <c r="I55" s="56" t="s">
        <v>14</v>
      </c>
      <c r="J55" s="19">
        <f t="shared" si="3"/>
        <v>1</v>
      </c>
      <c r="K55" s="19">
        <v>45</v>
      </c>
      <c r="L55" s="21">
        <f t="shared" si="4"/>
        <v>45</v>
      </c>
      <c r="M55" s="57">
        <v>26</v>
      </c>
      <c r="N55" s="58">
        <f t="shared" si="15"/>
        <v>71</v>
      </c>
      <c r="O55" s="21">
        <f t="shared" si="16"/>
        <v>92</v>
      </c>
      <c r="P55" s="39"/>
      <c r="Q55" s="39"/>
      <c r="R55" s="39"/>
      <c r="S55" s="39"/>
      <c r="T55" s="39"/>
      <c r="U55" s="39"/>
      <c r="V55" s="39"/>
    </row>
    <row r="56" spans="1:22" ht="18" customHeight="1">
      <c r="A56" s="16">
        <v>52</v>
      </c>
      <c r="B56" s="37">
        <f t="shared" si="7"/>
        <v>48</v>
      </c>
      <c r="C56" s="17" t="s">
        <v>77</v>
      </c>
      <c r="D56" s="18" t="s">
        <v>11</v>
      </c>
      <c r="E56" s="18" t="s">
        <v>6</v>
      </c>
      <c r="F56" s="19">
        <f t="shared" si="1"/>
        <v>0.4</v>
      </c>
      <c r="G56" s="19">
        <v>30</v>
      </c>
      <c r="H56" s="30">
        <f t="shared" si="2"/>
        <v>12</v>
      </c>
      <c r="I56" s="56" t="s">
        <v>11</v>
      </c>
      <c r="J56" s="19">
        <f t="shared" si="3"/>
        <v>0.8</v>
      </c>
      <c r="K56" s="19">
        <v>45</v>
      </c>
      <c r="L56" s="21">
        <f t="shared" si="4"/>
        <v>36</v>
      </c>
      <c r="M56" s="57">
        <v>20</v>
      </c>
      <c r="N56" s="58">
        <f t="shared" si="15"/>
        <v>56</v>
      </c>
      <c r="O56" s="21">
        <f t="shared" si="16"/>
        <v>68</v>
      </c>
      <c r="P56" s="39"/>
      <c r="Q56" s="39"/>
      <c r="R56" s="39"/>
      <c r="S56" s="39"/>
      <c r="T56" s="39"/>
      <c r="U56" s="39"/>
      <c r="V56" s="39"/>
    </row>
    <row r="57" spans="1:22" ht="18" customHeight="1">
      <c r="A57" s="16">
        <v>53</v>
      </c>
      <c r="B57" s="37">
        <f t="shared" si="7"/>
        <v>49</v>
      </c>
      <c r="C57" s="17" t="s">
        <v>78</v>
      </c>
      <c r="D57" s="18" t="s">
        <v>11</v>
      </c>
      <c r="E57" s="18" t="s">
        <v>14</v>
      </c>
      <c r="F57" s="19">
        <f t="shared" si="1"/>
        <v>0.9</v>
      </c>
      <c r="G57" s="19">
        <v>30</v>
      </c>
      <c r="H57" s="30">
        <f t="shared" si="2"/>
        <v>27</v>
      </c>
      <c r="I57" s="56" t="s">
        <v>14</v>
      </c>
      <c r="J57" s="19">
        <f t="shared" si="3"/>
        <v>1</v>
      </c>
      <c r="K57" s="19">
        <v>45</v>
      </c>
      <c r="L57" s="21">
        <f t="shared" si="4"/>
        <v>45</v>
      </c>
      <c r="M57" s="57">
        <v>29</v>
      </c>
      <c r="N57" s="58">
        <f t="shared" si="15"/>
        <v>74</v>
      </c>
      <c r="O57" s="21">
        <f t="shared" si="16"/>
        <v>101</v>
      </c>
      <c r="P57" s="39"/>
      <c r="Q57" s="39"/>
      <c r="R57" s="39"/>
      <c r="S57" s="39"/>
      <c r="T57" s="39"/>
      <c r="U57" s="39"/>
      <c r="V57" s="39"/>
    </row>
    <row r="58" spans="1:22" ht="15.75" customHeight="1">
      <c r="B58" s="37">
        <f t="shared" si="7"/>
        <v>50</v>
      </c>
      <c r="C58" s="23" t="s">
        <v>79</v>
      </c>
      <c r="D58" s="24" t="s">
        <v>11</v>
      </c>
      <c r="E58" s="24" t="s">
        <v>8</v>
      </c>
      <c r="F58" s="25">
        <f t="shared" si="1"/>
        <v>0.7</v>
      </c>
      <c r="G58" s="19">
        <v>30</v>
      </c>
      <c r="H58" s="26">
        <f t="shared" si="2"/>
        <v>21</v>
      </c>
      <c r="I58" s="59" t="s">
        <v>14</v>
      </c>
      <c r="J58" s="25">
        <f t="shared" si="3"/>
        <v>1</v>
      </c>
      <c r="K58" s="64">
        <v>45</v>
      </c>
      <c r="L58" s="60">
        <f t="shared" si="4"/>
        <v>45</v>
      </c>
      <c r="M58" s="61">
        <v>30</v>
      </c>
      <c r="N58" s="62">
        <f t="shared" si="15"/>
        <v>75</v>
      </c>
      <c r="O58" s="21">
        <f t="shared" si="16"/>
        <v>96</v>
      </c>
    </row>
    <row r="59" spans="1:22" ht="18" customHeight="1">
      <c r="A59" s="16">
        <v>54</v>
      </c>
      <c r="B59" s="37">
        <f t="shared" si="7"/>
        <v>51</v>
      </c>
      <c r="C59" s="17" t="s">
        <v>80</v>
      </c>
      <c r="D59" s="18" t="s">
        <v>4</v>
      </c>
      <c r="E59" s="18" t="s">
        <v>4</v>
      </c>
      <c r="F59" s="19">
        <f t="shared" si="1"/>
        <v>0</v>
      </c>
      <c r="G59" s="19">
        <v>30</v>
      </c>
      <c r="H59" s="30">
        <f t="shared" si="2"/>
        <v>0</v>
      </c>
      <c r="I59" s="56" t="s">
        <v>4</v>
      </c>
      <c r="J59" s="19">
        <f t="shared" si="3"/>
        <v>0</v>
      </c>
      <c r="K59" s="19">
        <v>45</v>
      </c>
      <c r="L59" s="21">
        <f t="shared" si="4"/>
        <v>0</v>
      </c>
      <c r="M59" s="57">
        <v>0</v>
      </c>
      <c r="N59" s="58">
        <f t="shared" si="15"/>
        <v>0</v>
      </c>
      <c r="O59" s="21">
        <f t="shared" si="16"/>
        <v>0</v>
      </c>
      <c r="P59" s="39"/>
      <c r="Q59" s="39"/>
      <c r="R59" s="39"/>
      <c r="S59" s="39"/>
      <c r="T59" s="39"/>
      <c r="U59" s="39"/>
      <c r="V59" s="39"/>
    </row>
    <row r="60" spans="1:22" ht="18" customHeight="1">
      <c r="A60" s="16">
        <v>55</v>
      </c>
      <c r="B60" s="37">
        <f t="shared" si="7"/>
        <v>52</v>
      </c>
      <c r="C60" s="17" t="s">
        <v>81</v>
      </c>
      <c r="D60" s="18" t="s">
        <v>4</v>
      </c>
      <c r="E60" s="18" t="s">
        <v>4</v>
      </c>
      <c r="F60" s="19">
        <f t="shared" si="1"/>
        <v>0</v>
      </c>
      <c r="G60" s="19">
        <v>30</v>
      </c>
      <c r="H60" s="30">
        <f t="shared" si="2"/>
        <v>0</v>
      </c>
      <c r="I60" s="56" t="s">
        <v>4</v>
      </c>
      <c r="J60" s="19">
        <f t="shared" si="3"/>
        <v>0</v>
      </c>
      <c r="K60" s="19">
        <v>45</v>
      </c>
      <c r="L60" s="21">
        <f t="shared" si="4"/>
        <v>0</v>
      </c>
      <c r="M60" s="57">
        <v>0</v>
      </c>
      <c r="N60" s="58">
        <f t="shared" si="15"/>
        <v>0</v>
      </c>
      <c r="O60" s="21">
        <f t="shared" si="16"/>
        <v>0</v>
      </c>
      <c r="P60" s="39"/>
      <c r="Q60" s="39"/>
      <c r="R60" s="39"/>
      <c r="S60" s="39"/>
      <c r="T60" s="39"/>
      <c r="U60" s="39"/>
      <c r="V60" s="39"/>
    </row>
    <row r="61" spans="1:22" ht="18" customHeight="1">
      <c r="A61" s="16">
        <v>56</v>
      </c>
      <c r="B61" s="37">
        <f t="shared" si="7"/>
        <v>53</v>
      </c>
      <c r="C61" s="17" t="s">
        <v>82</v>
      </c>
      <c r="D61" s="18" t="s">
        <v>11</v>
      </c>
      <c r="E61" s="18" t="s">
        <v>11</v>
      </c>
      <c r="F61" s="19">
        <f t="shared" si="1"/>
        <v>0.8</v>
      </c>
      <c r="G61" s="19">
        <v>30</v>
      </c>
      <c r="H61" s="30">
        <f t="shared" si="2"/>
        <v>24</v>
      </c>
      <c r="I61" s="56" t="s">
        <v>14</v>
      </c>
      <c r="J61" s="19">
        <f t="shared" si="3"/>
        <v>1</v>
      </c>
      <c r="K61" s="19">
        <v>45</v>
      </c>
      <c r="L61" s="21">
        <f t="shared" si="4"/>
        <v>45</v>
      </c>
      <c r="M61" s="57">
        <v>30</v>
      </c>
      <c r="N61" s="58">
        <f t="shared" si="15"/>
        <v>75</v>
      </c>
      <c r="O61" s="21">
        <f t="shared" si="16"/>
        <v>99</v>
      </c>
      <c r="P61" s="39"/>
      <c r="Q61" s="39"/>
      <c r="R61" s="39"/>
      <c r="S61" s="39"/>
      <c r="T61" s="39"/>
      <c r="U61" s="39"/>
      <c r="V61" s="39"/>
    </row>
    <row r="62" spans="1:22" ht="18" customHeight="1">
      <c r="A62" s="16">
        <v>57</v>
      </c>
      <c r="B62" s="37">
        <f t="shared" si="7"/>
        <v>54</v>
      </c>
      <c r="C62" s="17" t="s">
        <v>83</v>
      </c>
      <c r="D62" s="18" t="s">
        <v>14</v>
      </c>
      <c r="E62" s="18" t="s">
        <v>14</v>
      </c>
      <c r="F62" s="19">
        <f t="shared" si="1"/>
        <v>1</v>
      </c>
      <c r="G62" s="19">
        <v>30</v>
      </c>
      <c r="H62" s="30">
        <f t="shared" si="2"/>
        <v>30</v>
      </c>
      <c r="I62" s="56" t="s">
        <v>14</v>
      </c>
      <c r="J62" s="19">
        <f t="shared" si="3"/>
        <v>1</v>
      </c>
      <c r="K62" s="19">
        <v>45</v>
      </c>
      <c r="L62" s="21">
        <f t="shared" si="4"/>
        <v>45</v>
      </c>
      <c r="M62" s="57">
        <v>29</v>
      </c>
      <c r="N62" s="58">
        <f t="shared" si="15"/>
        <v>74</v>
      </c>
      <c r="O62" s="21">
        <f t="shared" si="16"/>
        <v>104</v>
      </c>
      <c r="P62" s="39"/>
      <c r="Q62" s="39"/>
      <c r="R62" s="39"/>
      <c r="S62" s="39"/>
      <c r="T62" s="39"/>
      <c r="U62" s="39"/>
      <c r="V62" s="39"/>
    </row>
    <row r="63" spans="1:22" ht="18" customHeight="1">
      <c r="A63" s="16">
        <v>58</v>
      </c>
      <c r="B63" s="37">
        <f t="shared" si="7"/>
        <v>55</v>
      </c>
      <c r="C63" s="17" t="s">
        <v>84</v>
      </c>
      <c r="D63" s="18" t="s">
        <v>11</v>
      </c>
      <c r="E63" s="18" t="s">
        <v>8</v>
      </c>
      <c r="F63" s="19">
        <f t="shared" si="1"/>
        <v>0.7</v>
      </c>
      <c r="G63" s="19">
        <v>30</v>
      </c>
      <c r="H63" s="30">
        <f t="shared" si="2"/>
        <v>21</v>
      </c>
      <c r="I63" s="56" t="s">
        <v>11</v>
      </c>
      <c r="J63" s="19">
        <f t="shared" si="3"/>
        <v>0.8</v>
      </c>
      <c r="K63" s="19">
        <v>45</v>
      </c>
      <c r="L63" s="21">
        <f t="shared" si="4"/>
        <v>36</v>
      </c>
      <c r="M63" s="57">
        <v>29</v>
      </c>
      <c r="N63" s="58">
        <f t="shared" si="15"/>
        <v>65</v>
      </c>
      <c r="O63" s="21">
        <f t="shared" si="16"/>
        <v>86</v>
      </c>
      <c r="P63" s="39"/>
      <c r="Q63" s="39"/>
      <c r="R63" s="39"/>
      <c r="S63" s="39"/>
      <c r="T63" s="39"/>
      <c r="U63" s="39"/>
      <c r="V63" s="39"/>
    </row>
    <row r="64" spans="1:22" ht="18" customHeight="1">
      <c r="A64" s="16">
        <v>59</v>
      </c>
      <c r="B64" s="37">
        <f t="shared" si="7"/>
        <v>56</v>
      </c>
      <c r="C64" s="17" t="s">
        <v>85</v>
      </c>
      <c r="D64" s="18" t="s">
        <v>11</v>
      </c>
      <c r="E64" s="18" t="s">
        <v>8</v>
      </c>
      <c r="F64" s="19">
        <f t="shared" si="1"/>
        <v>0.7</v>
      </c>
      <c r="G64" s="19">
        <v>30</v>
      </c>
      <c r="H64" s="30">
        <f t="shared" si="2"/>
        <v>21</v>
      </c>
      <c r="I64" s="56" t="s">
        <v>14</v>
      </c>
      <c r="J64" s="19">
        <f t="shared" si="3"/>
        <v>1</v>
      </c>
      <c r="K64" s="19">
        <v>45</v>
      </c>
      <c r="L64" s="21">
        <f t="shared" si="4"/>
        <v>45</v>
      </c>
      <c r="M64" s="57">
        <v>27</v>
      </c>
      <c r="N64" s="58">
        <f t="shared" si="15"/>
        <v>72</v>
      </c>
      <c r="O64" s="21">
        <f t="shared" si="16"/>
        <v>93</v>
      </c>
      <c r="P64" s="39"/>
      <c r="Q64" s="39"/>
      <c r="R64" s="39"/>
      <c r="S64" s="39"/>
      <c r="T64" s="39"/>
      <c r="U64" s="39"/>
      <c r="V64" s="39"/>
    </row>
    <row r="65" spans="1:22" ht="18" customHeight="1">
      <c r="A65" s="16">
        <v>60</v>
      </c>
      <c r="B65" s="37">
        <f t="shared" si="7"/>
        <v>57</v>
      </c>
      <c r="C65" s="17" t="s">
        <v>86</v>
      </c>
      <c r="D65" s="18" t="s">
        <v>14</v>
      </c>
      <c r="E65" s="18" t="s">
        <v>14</v>
      </c>
      <c r="F65" s="19">
        <f t="shared" si="1"/>
        <v>1</v>
      </c>
      <c r="G65" s="19">
        <v>30</v>
      </c>
      <c r="H65" s="30">
        <f t="shared" si="2"/>
        <v>30</v>
      </c>
      <c r="I65" s="56" t="s">
        <v>14</v>
      </c>
      <c r="J65" s="19">
        <f t="shared" si="3"/>
        <v>1</v>
      </c>
      <c r="K65" s="19">
        <v>45</v>
      </c>
      <c r="L65" s="21">
        <f t="shared" si="4"/>
        <v>45</v>
      </c>
      <c r="M65" s="57">
        <v>29</v>
      </c>
      <c r="N65" s="58">
        <f t="shared" si="15"/>
        <v>74</v>
      </c>
      <c r="O65" s="21">
        <f t="shared" si="16"/>
        <v>104</v>
      </c>
      <c r="P65" s="39"/>
      <c r="Q65" s="39"/>
      <c r="R65" s="39"/>
      <c r="S65" s="39"/>
      <c r="T65" s="39"/>
      <c r="U65" s="39"/>
      <c r="V65" s="39"/>
    </row>
    <row r="66" spans="1:22" ht="18" customHeight="1">
      <c r="A66" s="16">
        <v>61</v>
      </c>
      <c r="B66" s="37">
        <f t="shared" si="7"/>
        <v>58</v>
      </c>
      <c r="C66" s="17" t="s">
        <v>87</v>
      </c>
      <c r="D66" s="18" t="s">
        <v>11</v>
      </c>
      <c r="E66" s="18" t="s">
        <v>14</v>
      </c>
      <c r="F66" s="19">
        <f t="shared" si="1"/>
        <v>0.9</v>
      </c>
      <c r="G66" s="19">
        <v>30</v>
      </c>
      <c r="H66" s="30">
        <f t="shared" si="2"/>
        <v>27</v>
      </c>
      <c r="I66" s="56" t="s">
        <v>14</v>
      </c>
      <c r="J66" s="19">
        <f t="shared" si="3"/>
        <v>1</v>
      </c>
      <c r="K66" s="19">
        <v>45</v>
      </c>
      <c r="L66" s="21">
        <f t="shared" si="4"/>
        <v>45</v>
      </c>
      <c r="M66" s="57">
        <v>30</v>
      </c>
      <c r="N66" s="58">
        <f t="shared" si="15"/>
        <v>75</v>
      </c>
      <c r="O66" s="21">
        <f t="shared" si="16"/>
        <v>102</v>
      </c>
      <c r="P66" s="39"/>
      <c r="Q66" s="39"/>
      <c r="R66" s="39"/>
      <c r="S66" s="39"/>
      <c r="T66" s="39"/>
      <c r="U66" s="39"/>
      <c r="V66" s="39"/>
    </row>
    <row r="67" spans="1:22" ht="18" customHeight="1">
      <c r="A67" s="16">
        <v>62</v>
      </c>
      <c r="B67" s="37">
        <f t="shared" si="7"/>
        <v>59</v>
      </c>
      <c r="C67" s="17" t="s">
        <v>88</v>
      </c>
      <c r="D67" s="18" t="s">
        <v>4</v>
      </c>
      <c r="E67" s="18" t="s">
        <v>4</v>
      </c>
      <c r="F67" s="19">
        <f t="shared" si="1"/>
        <v>0</v>
      </c>
      <c r="G67" s="19">
        <v>30</v>
      </c>
      <c r="H67" s="30">
        <f t="shared" si="2"/>
        <v>0</v>
      </c>
      <c r="I67" s="56" t="s">
        <v>4</v>
      </c>
      <c r="J67" s="19">
        <f t="shared" si="3"/>
        <v>0</v>
      </c>
      <c r="K67" s="19">
        <v>45</v>
      </c>
      <c r="L67" s="21">
        <f t="shared" si="4"/>
        <v>0</v>
      </c>
      <c r="M67" s="57">
        <v>0</v>
      </c>
      <c r="N67" s="58">
        <f t="shared" si="15"/>
        <v>0</v>
      </c>
      <c r="O67" s="21">
        <f t="shared" si="16"/>
        <v>0</v>
      </c>
      <c r="P67" s="39"/>
      <c r="Q67" s="39"/>
      <c r="R67" s="39"/>
      <c r="S67" s="39"/>
      <c r="T67" s="39"/>
      <c r="U67" s="39"/>
      <c r="V67" s="39"/>
    </row>
    <row r="68" spans="1:22" ht="18" customHeight="1">
      <c r="A68" s="16">
        <v>63</v>
      </c>
      <c r="B68" s="37">
        <f t="shared" si="7"/>
        <v>60</v>
      </c>
      <c r="C68" s="17" t="s">
        <v>89</v>
      </c>
      <c r="D68" s="18" t="s">
        <v>14</v>
      </c>
      <c r="E68" s="18" t="s">
        <v>14</v>
      </c>
      <c r="F68" s="19">
        <f t="shared" si="1"/>
        <v>1</v>
      </c>
      <c r="G68" s="19">
        <v>30</v>
      </c>
      <c r="H68" s="30">
        <f t="shared" si="2"/>
        <v>30</v>
      </c>
      <c r="I68" s="56" t="s">
        <v>14</v>
      </c>
      <c r="J68" s="19">
        <f t="shared" si="3"/>
        <v>1</v>
      </c>
      <c r="K68" s="19">
        <v>45</v>
      </c>
      <c r="L68" s="21">
        <f t="shared" si="4"/>
        <v>45</v>
      </c>
      <c r="M68" s="57">
        <v>29</v>
      </c>
      <c r="N68" s="58">
        <f t="shared" si="15"/>
        <v>74</v>
      </c>
      <c r="O68" s="21">
        <f t="shared" si="16"/>
        <v>104</v>
      </c>
      <c r="P68" s="39"/>
      <c r="Q68" s="39"/>
      <c r="R68" s="39"/>
      <c r="S68" s="39"/>
      <c r="T68" s="39"/>
      <c r="U68" s="39"/>
      <c r="V68" s="39"/>
    </row>
    <row r="69" spans="1:22" ht="18" customHeight="1">
      <c r="A69" s="16">
        <v>64</v>
      </c>
      <c r="B69" s="37">
        <f t="shared" si="7"/>
        <v>61</v>
      </c>
      <c r="C69" s="17" t="s">
        <v>90</v>
      </c>
      <c r="D69" s="18" t="s">
        <v>11</v>
      </c>
      <c r="E69" s="18" t="s">
        <v>8</v>
      </c>
      <c r="F69" s="19">
        <f t="shared" si="1"/>
        <v>0.7</v>
      </c>
      <c r="G69" s="19">
        <v>30</v>
      </c>
      <c r="H69" s="30">
        <f t="shared" si="2"/>
        <v>21</v>
      </c>
      <c r="I69" s="56" t="s">
        <v>11</v>
      </c>
      <c r="J69" s="19">
        <f t="shared" si="3"/>
        <v>0.8</v>
      </c>
      <c r="K69" s="19">
        <v>45</v>
      </c>
      <c r="L69" s="21">
        <f t="shared" si="4"/>
        <v>36</v>
      </c>
      <c r="M69" s="57">
        <v>28</v>
      </c>
      <c r="N69" s="58">
        <f t="shared" si="15"/>
        <v>64</v>
      </c>
      <c r="O69" s="21">
        <f t="shared" si="16"/>
        <v>85</v>
      </c>
      <c r="P69" s="39"/>
      <c r="Q69" s="39"/>
      <c r="R69" s="39"/>
      <c r="S69" s="39"/>
      <c r="T69" s="39"/>
      <c r="U69" s="39"/>
      <c r="V69" s="39"/>
    </row>
    <row r="70" spans="1:22" ht="18" customHeight="1">
      <c r="A70" s="16">
        <v>65</v>
      </c>
      <c r="B70" s="37">
        <f t="shared" si="7"/>
        <v>62</v>
      </c>
      <c r="C70" s="17" t="s">
        <v>91</v>
      </c>
      <c r="D70" s="18" t="s">
        <v>8</v>
      </c>
      <c r="E70" s="18" t="s">
        <v>6</v>
      </c>
      <c r="F70" s="19">
        <f t="shared" si="1"/>
        <v>0.3</v>
      </c>
      <c r="G70" s="19">
        <v>30</v>
      </c>
      <c r="H70" s="30">
        <f t="shared" si="2"/>
        <v>9</v>
      </c>
      <c r="I70" s="56" t="s">
        <v>14</v>
      </c>
      <c r="J70" s="19">
        <f t="shared" si="3"/>
        <v>1</v>
      </c>
      <c r="K70" s="19">
        <v>45</v>
      </c>
      <c r="L70" s="21">
        <f t="shared" si="4"/>
        <v>45</v>
      </c>
      <c r="M70" s="57">
        <v>23</v>
      </c>
      <c r="N70" s="58">
        <f t="shared" si="15"/>
        <v>68</v>
      </c>
      <c r="O70" s="21">
        <f t="shared" ref="O70:O103" si="17">H70+N70</f>
        <v>77</v>
      </c>
      <c r="P70" s="39"/>
      <c r="Q70" s="39"/>
      <c r="R70" s="39"/>
      <c r="S70" s="39"/>
      <c r="T70" s="39"/>
      <c r="U70" s="39"/>
      <c r="V70" s="39"/>
    </row>
    <row r="71" spans="1:22" ht="18" customHeight="1">
      <c r="A71" s="16">
        <v>66</v>
      </c>
      <c r="B71" s="37">
        <f t="shared" si="7"/>
        <v>63</v>
      </c>
      <c r="C71" s="17" t="s">
        <v>92</v>
      </c>
      <c r="D71" s="18" t="s">
        <v>14</v>
      </c>
      <c r="E71" s="18" t="s">
        <v>11</v>
      </c>
      <c r="F71" s="19">
        <f t="shared" si="1"/>
        <v>0.9</v>
      </c>
      <c r="G71" s="19">
        <v>30</v>
      </c>
      <c r="H71" s="30">
        <f t="shared" si="2"/>
        <v>27</v>
      </c>
      <c r="I71" s="56" t="s">
        <v>14</v>
      </c>
      <c r="J71" s="19">
        <f t="shared" ref="J71:J84" si="18">(IF(I71="AB",0,IF(I71="NA",0,IF(I71="P",0.6,IF(I71="M",0.8,IF(I71="D",1,"False Entry"))))))</f>
        <v>1</v>
      </c>
      <c r="K71" s="19">
        <v>45</v>
      </c>
      <c r="L71" s="21">
        <f t="shared" si="4"/>
        <v>45</v>
      </c>
      <c r="M71" s="57">
        <v>23</v>
      </c>
      <c r="N71" s="58">
        <f t="shared" si="15"/>
        <v>68</v>
      </c>
      <c r="O71" s="21">
        <f t="shared" si="17"/>
        <v>95</v>
      </c>
      <c r="P71" s="39"/>
      <c r="Q71" s="39"/>
      <c r="R71" s="39"/>
      <c r="S71" s="39"/>
      <c r="T71" s="39"/>
      <c r="U71" s="39"/>
      <c r="V71" s="39"/>
    </row>
    <row r="72" spans="1:22" ht="18" customHeight="1">
      <c r="A72" s="16">
        <v>67</v>
      </c>
      <c r="B72" s="37">
        <f t="shared" si="7"/>
        <v>64</v>
      </c>
      <c r="C72" s="17" t="s">
        <v>93</v>
      </c>
      <c r="D72" s="18" t="s">
        <v>14</v>
      </c>
      <c r="E72" s="18" t="s">
        <v>11</v>
      </c>
      <c r="F72" s="19">
        <f t="shared" si="1"/>
        <v>0.9</v>
      </c>
      <c r="G72" s="19">
        <v>30</v>
      </c>
      <c r="H72" s="30">
        <f t="shared" si="2"/>
        <v>27</v>
      </c>
      <c r="I72" s="56" t="s">
        <v>14</v>
      </c>
      <c r="J72" s="19">
        <f t="shared" si="18"/>
        <v>1</v>
      </c>
      <c r="K72" s="19">
        <v>45</v>
      </c>
      <c r="L72" s="21">
        <f t="shared" si="4"/>
        <v>45</v>
      </c>
      <c r="M72" s="57">
        <v>28</v>
      </c>
      <c r="N72" s="58">
        <f t="shared" si="15"/>
        <v>73</v>
      </c>
      <c r="O72" s="21">
        <f t="shared" si="17"/>
        <v>100</v>
      </c>
      <c r="P72" s="39"/>
      <c r="Q72" s="39"/>
      <c r="R72" s="39"/>
      <c r="S72" s="39"/>
      <c r="T72" s="39"/>
      <c r="U72" s="39"/>
      <c r="V72" s="39"/>
    </row>
    <row r="73" spans="1:22" ht="18" customHeight="1">
      <c r="A73" s="16">
        <v>68</v>
      </c>
      <c r="B73" s="37">
        <f t="shared" si="7"/>
        <v>65</v>
      </c>
      <c r="C73" s="17" t="s">
        <v>94</v>
      </c>
      <c r="D73" s="18" t="s">
        <v>11</v>
      </c>
      <c r="E73" s="18" t="s">
        <v>6</v>
      </c>
      <c r="F73" s="19">
        <f t="shared" si="1"/>
        <v>0.4</v>
      </c>
      <c r="G73" s="19">
        <v>30</v>
      </c>
      <c r="H73" s="30">
        <f t="shared" si="2"/>
        <v>12</v>
      </c>
      <c r="I73" s="56" t="s">
        <v>11</v>
      </c>
      <c r="J73" s="19">
        <f t="shared" si="18"/>
        <v>0.8</v>
      </c>
      <c r="K73" s="19">
        <v>45</v>
      </c>
      <c r="L73" s="21">
        <f t="shared" si="4"/>
        <v>36</v>
      </c>
      <c r="M73" s="57">
        <v>28</v>
      </c>
      <c r="N73" s="58">
        <f t="shared" si="15"/>
        <v>64</v>
      </c>
      <c r="O73" s="21">
        <f t="shared" si="17"/>
        <v>76</v>
      </c>
      <c r="P73" s="39"/>
      <c r="Q73" s="39"/>
      <c r="R73" s="39"/>
      <c r="S73" s="39"/>
      <c r="T73" s="39"/>
      <c r="U73" s="39"/>
      <c r="V73" s="39"/>
    </row>
    <row r="74" spans="1:22" ht="18" customHeight="1">
      <c r="A74" s="16">
        <v>70</v>
      </c>
      <c r="B74" s="37">
        <f t="shared" si="7"/>
        <v>66</v>
      </c>
      <c r="C74" s="17" t="s">
        <v>95</v>
      </c>
      <c r="D74" s="18" t="s">
        <v>11</v>
      </c>
      <c r="E74" s="18" t="s">
        <v>14</v>
      </c>
      <c r="F74" s="19">
        <f t="shared" si="1"/>
        <v>0.9</v>
      </c>
      <c r="G74" s="19">
        <v>30</v>
      </c>
      <c r="H74" s="30">
        <f t="shared" si="2"/>
        <v>27</v>
      </c>
      <c r="I74" s="56" t="s">
        <v>11</v>
      </c>
      <c r="J74" s="19">
        <f t="shared" si="18"/>
        <v>0.8</v>
      </c>
      <c r="K74" s="19">
        <v>45</v>
      </c>
      <c r="L74" s="21">
        <f t="shared" si="4"/>
        <v>36</v>
      </c>
      <c r="M74" s="57">
        <v>18</v>
      </c>
      <c r="N74" s="58">
        <f t="shared" si="15"/>
        <v>54</v>
      </c>
      <c r="O74" s="21">
        <f t="shared" si="17"/>
        <v>81</v>
      </c>
      <c r="P74" s="39"/>
      <c r="Q74" s="39"/>
      <c r="R74" s="39"/>
      <c r="S74" s="39"/>
      <c r="T74" s="39"/>
      <c r="U74" s="39"/>
      <c r="V74" s="39"/>
    </row>
    <row r="75" spans="1:22" ht="18" customHeight="1">
      <c r="A75" s="16">
        <v>72</v>
      </c>
      <c r="B75" s="37">
        <f t="shared" si="7"/>
        <v>67</v>
      </c>
      <c r="C75" s="17" t="s">
        <v>96</v>
      </c>
      <c r="D75" s="18" t="s">
        <v>11</v>
      </c>
      <c r="E75" s="18" t="s">
        <v>8</v>
      </c>
      <c r="F75" s="19">
        <f t="shared" ref="F75:F84" si="19">(0.5*(IF(E75="AB",0,(IF(E75="NA",0,(IF(E75="P",0.6,(IF(E75="M",0.8,(IF(E75="D",1,"False Entry")))))))))))+(0.5*(IF(D75="AB",0,(IF(D75="NA",0,(IF(D75="P",0.6,(IF(D75="M",0.8,(IF(D75="D",1,"False Entry")))))))))))</f>
        <v>0.7</v>
      </c>
      <c r="G75" s="19">
        <v>30</v>
      </c>
      <c r="H75" s="30">
        <f t="shared" ref="H75:H78" si="20">ROUNDUP(F75*G75,0)</f>
        <v>21</v>
      </c>
      <c r="I75" s="56" t="s">
        <v>11</v>
      </c>
      <c r="J75" s="19">
        <f t="shared" si="18"/>
        <v>0.8</v>
      </c>
      <c r="K75" s="19">
        <v>45</v>
      </c>
      <c r="L75" s="21">
        <f t="shared" ref="L75:L84" si="21">J75*K75</f>
        <v>36</v>
      </c>
      <c r="M75" s="57">
        <v>27</v>
      </c>
      <c r="N75" s="58">
        <f t="shared" si="15"/>
        <v>63</v>
      </c>
      <c r="O75" s="21">
        <f t="shared" si="17"/>
        <v>84</v>
      </c>
      <c r="P75" s="39"/>
      <c r="Q75" s="39"/>
      <c r="R75" s="39"/>
      <c r="S75" s="39"/>
      <c r="T75" s="39"/>
      <c r="U75" s="39"/>
      <c r="V75" s="39"/>
    </row>
    <row r="76" spans="1:22" ht="18" customHeight="1">
      <c r="A76" s="16">
        <v>73</v>
      </c>
      <c r="B76" s="37">
        <f t="shared" si="7"/>
        <v>68</v>
      </c>
      <c r="C76" s="17" t="s">
        <v>97</v>
      </c>
      <c r="D76" s="18" t="s">
        <v>11</v>
      </c>
      <c r="E76" s="18" t="s">
        <v>11</v>
      </c>
      <c r="F76" s="19">
        <f t="shared" si="19"/>
        <v>0.8</v>
      </c>
      <c r="G76" s="19">
        <v>30</v>
      </c>
      <c r="H76" s="30">
        <f t="shared" si="20"/>
        <v>24</v>
      </c>
      <c r="I76" s="56" t="s">
        <v>14</v>
      </c>
      <c r="J76" s="19">
        <f t="shared" si="18"/>
        <v>1</v>
      </c>
      <c r="K76" s="19">
        <v>45</v>
      </c>
      <c r="L76" s="21">
        <f t="shared" si="21"/>
        <v>45</v>
      </c>
      <c r="M76" s="57">
        <v>23</v>
      </c>
      <c r="N76" s="58">
        <f t="shared" si="15"/>
        <v>68</v>
      </c>
      <c r="O76" s="21">
        <f t="shared" si="17"/>
        <v>92</v>
      </c>
      <c r="P76" s="39"/>
      <c r="Q76" s="39"/>
      <c r="R76" s="39"/>
      <c r="S76" s="39"/>
      <c r="T76" s="39"/>
      <c r="U76" s="39"/>
      <c r="V76" s="39"/>
    </row>
    <row r="77" spans="1:22" ht="18" customHeight="1">
      <c r="A77" s="16">
        <v>74</v>
      </c>
      <c r="B77" s="37">
        <f t="shared" si="7"/>
        <v>69</v>
      </c>
      <c r="C77" s="17" t="s">
        <v>98</v>
      </c>
      <c r="D77" s="18" t="s">
        <v>11</v>
      </c>
      <c r="E77" s="18" t="s">
        <v>11</v>
      </c>
      <c r="F77" s="19">
        <f t="shared" si="19"/>
        <v>0.8</v>
      </c>
      <c r="G77" s="19">
        <v>30</v>
      </c>
      <c r="H77" s="30">
        <f t="shared" si="20"/>
        <v>24</v>
      </c>
      <c r="I77" s="56" t="s">
        <v>14</v>
      </c>
      <c r="J77" s="19">
        <f t="shared" si="18"/>
        <v>1</v>
      </c>
      <c r="K77" s="19">
        <v>45</v>
      </c>
      <c r="L77" s="21">
        <f t="shared" si="21"/>
        <v>45</v>
      </c>
      <c r="M77" s="57">
        <v>30</v>
      </c>
      <c r="N77" s="58">
        <f t="shared" si="15"/>
        <v>75</v>
      </c>
      <c r="O77" s="21">
        <f t="shared" si="17"/>
        <v>99</v>
      </c>
      <c r="P77" s="39"/>
      <c r="Q77" s="39"/>
      <c r="R77" s="39"/>
      <c r="S77" s="39"/>
      <c r="T77" s="39"/>
      <c r="U77" s="39"/>
      <c r="V77" s="39"/>
    </row>
    <row r="78" spans="1:22" ht="18" customHeight="1">
      <c r="A78" s="16">
        <v>75</v>
      </c>
      <c r="B78" s="37">
        <f t="shared" si="7"/>
        <v>70</v>
      </c>
      <c r="C78" s="17" t="s">
        <v>99</v>
      </c>
      <c r="D78" s="18" t="s">
        <v>14</v>
      </c>
      <c r="E78" s="18" t="s">
        <v>14</v>
      </c>
      <c r="F78" s="19">
        <f t="shared" si="19"/>
        <v>1</v>
      </c>
      <c r="G78" s="19">
        <v>30</v>
      </c>
      <c r="H78" s="30">
        <f t="shared" si="20"/>
        <v>30</v>
      </c>
      <c r="I78" s="56" t="s">
        <v>14</v>
      </c>
      <c r="J78" s="19">
        <f t="shared" si="18"/>
        <v>1</v>
      </c>
      <c r="K78" s="19">
        <v>45</v>
      </c>
      <c r="L78" s="21">
        <f t="shared" si="21"/>
        <v>45</v>
      </c>
      <c r="M78" s="57">
        <v>30</v>
      </c>
      <c r="N78" s="58">
        <f t="shared" si="15"/>
        <v>75</v>
      </c>
      <c r="O78" s="21">
        <f t="shared" si="17"/>
        <v>105</v>
      </c>
      <c r="P78" s="39"/>
      <c r="Q78" s="39"/>
      <c r="R78" s="39"/>
      <c r="S78" s="39"/>
      <c r="T78" s="39"/>
      <c r="U78" s="39"/>
      <c r="V78" s="39"/>
    </row>
    <row r="79" spans="1:22" s="1" customFormat="1" ht="18" customHeight="1">
      <c r="A79" s="36">
        <v>76</v>
      </c>
      <c r="B79" s="36">
        <f t="shared" si="7"/>
        <v>71</v>
      </c>
      <c r="C79" s="76" t="s">
        <v>100</v>
      </c>
      <c r="D79" s="18" t="s">
        <v>8</v>
      </c>
      <c r="E79" s="18" t="s">
        <v>6</v>
      </c>
      <c r="F79" s="29">
        <f t="shared" si="19"/>
        <v>0.3</v>
      </c>
      <c r="G79" s="29">
        <v>30</v>
      </c>
      <c r="H79" s="30">
        <f t="shared" si="2"/>
        <v>9</v>
      </c>
      <c r="I79" s="18" t="s">
        <v>4</v>
      </c>
      <c r="J79" s="29">
        <f t="shared" si="18"/>
        <v>0</v>
      </c>
      <c r="K79" s="29">
        <v>45</v>
      </c>
      <c r="L79" s="69">
        <f t="shared" si="21"/>
        <v>0</v>
      </c>
      <c r="M79" s="69">
        <v>29</v>
      </c>
      <c r="N79" s="88">
        <f t="shared" si="15"/>
        <v>29</v>
      </c>
      <c r="O79" s="69">
        <f t="shared" si="17"/>
        <v>38</v>
      </c>
      <c r="P79" s="89"/>
      <c r="Q79" s="89"/>
      <c r="R79" s="89"/>
      <c r="S79" s="89"/>
      <c r="T79" s="89"/>
      <c r="U79" s="89"/>
      <c r="V79" s="89"/>
    </row>
    <row r="80" spans="1:22" ht="18" customHeight="1">
      <c r="A80" s="16">
        <v>80</v>
      </c>
      <c r="B80" s="77">
        <f t="shared" si="7"/>
        <v>72</v>
      </c>
      <c r="C80" s="17" t="s">
        <v>101</v>
      </c>
      <c r="D80" s="18" t="s">
        <v>11</v>
      </c>
      <c r="E80" s="18" t="s">
        <v>8</v>
      </c>
      <c r="F80" s="19">
        <f t="shared" si="19"/>
        <v>0.7</v>
      </c>
      <c r="G80" s="19">
        <v>30</v>
      </c>
      <c r="H80" s="30">
        <f t="shared" si="2"/>
        <v>21</v>
      </c>
      <c r="I80" s="56" t="s">
        <v>14</v>
      </c>
      <c r="J80" s="19">
        <f t="shared" si="18"/>
        <v>1</v>
      </c>
      <c r="K80" s="19">
        <v>45</v>
      </c>
      <c r="L80" s="21">
        <f t="shared" si="21"/>
        <v>45</v>
      </c>
      <c r="M80" s="57">
        <v>29</v>
      </c>
      <c r="N80" s="58">
        <f t="shared" si="15"/>
        <v>74</v>
      </c>
      <c r="O80" s="21">
        <f t="shared" si="17"/>
        <v>95</v>
      </c>
      <c r="P80" s="39"/>
      <c r="Q80" s="39"/>
      <c r="R80" s="39"/>
      <c r="S80" s="39"/>
      <c r="T80" s="39"/>
      <c r="U80" s="39"/>
      <c r="V80" s="39"/>
    </row>
    <row r="81" spans="1:22" ht="18" customHeight="1">
      <c r="A81" s="16">
        <v>81</v>
      </c>
      <c r="B81" s="77">
        <f t="shared" si="7"/>
        <v>73</v>
      </c>
      <c r="C81" s="17" t="s">
        <v>102</v>
      </c>
      <c r="D81" s="18" t="s">
        <v>4</v>
      </c>
      <c r="E81" s="18" t="s">
        <v>4</v>
      </c>
      <c r="F81" s="19">
        <f t="shared" si="19"/>
        <v>0</v>
      </c>
      <c r="G81" s="19">
        <v>30</v>
      </c>
      <c r="H81" s="30">
        <f t="shared" si="2"/>
        <v>0</v>
      </c>
      <c r="I81" s="56" t="s">
        <v>4</v>
      </c>
      <c r="J81" s="19">
        <f t="shared" si="18"/>
        <v>0</v>
      </c>
      <c r="K81" s="19">
        <v>45</v>
      </c>
      <c r="L81" s="21">
        <f t="shared" si="21"/>
        <v>0</v>
      </c>
      <c r="M81" s="57">
        <v>0</v>
      </c>
      <c r="N81" s="58">
        <f t="shared" si="15"/>
        <v>0</v>
      </c>
      <c r="O81" s="21">
        <f t="shared" si="17"/>
        <v>0</v>
      </c>
      <c r="P81" s="39"/>
      <c r="Q81" s="39"/>
      <c r="R81" s="39"/>
      <c r="S81" s="39"/>
      <c r="T81" s="39"/>
      <c r="U81" s="39"/>
      <c r="V81" s="39"/>
    </row>
    <row r="82" spans="1:22" ht="18" customHeight="1">
      <c r="A82" s="16">
        <v>82</v>
      </c>
      <c r="B82" s="77">
        <f t="shared" si="7"/>
        <v>74</v>
      </c>
      <c r="C82" s="17" t="s">
        <v>103</v>
      </c>
      <c r="D82" s="18" t="s">
        <v>11</v>
      </c>
      <c r="E82" s="78" t="s">
        <v>6</v>
      </c>
      <c r="F82" s="19">
        <f t="shared" si="19"/>
        <v>0.4</v>
      </c>
      <c r="G82" s="19">
        <v>30</v>
      </c>
      <c r="H82" s="30">
        <f t="shared" si="2"/>
        <v>12</v>
      </c>
      <c r="I82" s="56" t="s">
        <v>11</v>
      </c>
      <c r="J82" s="19">
        <f t="shared" si="18"/>
        <v>0.8</v>
      </c>
      <c r="K82" s="19">
        <v>45</v>
      </c>
      <c r="L82" s="21">
        <f t="shared" si="21"/>
        <v>36</v>
      </c>
      <c r="M82" s="57">
        <v>18</v>
      </c>
      <c r="N82" s="58">
        <f t="shared" si="15"/>
        <v>54</v>
      </c>
      <c r="O82" s="21">
        <f t="shared" si="17"/>
        <v>66</v>
      </c>
      <c r="P82" s="39"/>
      <c r="Q82" s="39"/>
      <c r="R82" s="39"/>
      <c r="S82" s="39"/>
      <c r="T82" s="39"/>
      <c r="U82" s="39"/>
      <c r="V82" s="39"/>
    </row>
    <row r="83" spans="1:22" ht="15.75" customHeight="1">
      <c r="B83" s="77">
        <f t="shared" si="7"/>
        <v>75</v>
      </c>
      <c r="C83" s="79" t="s">
        <v>104</v>
      </c>
      <c r="D83" s="24" t="s">
        <v>11</v>
      </c>
      <c r="E83" s="24" t="s">
        <v>14</v>
      </c>
      <c r="F83" s="25">
        <f t="shared" si="19"/>
        <v>0.9</v>
      </c>
      <c r="G83" s="19">
        <v>30</v>
      </c>
      <c r="H83" s="26">
        <f t="shared" si="2"/>
        <v>27</v>
      </c>
      <c r="I83" s="59" t="s">
        <v>11</v>
      </c>
      <c r="J83" s="25">
        <f t="shared" si="18"/>
        <v>0.8</v>
      </c>
      <c r="K83" s="90">
        <v>45</v>
      </c>
      <c r="L83" s="60">
        <f t="shared" si="21"/>
        <v>36</v>
      </c>
      <c r="M83" s="61">
        <v>26</v>
      </c>
      <c r="N83" s="62">
        <f t="shared" si="15"/>
        <v>62</v>
      </c>
      <c r="O83" s="21">
        <f t="shared" si="17"/>
        <v>89</v>
      </c>
    </row>
    <row r="84" spans="1:22" ht="18" customHeight="1">
      <c r="A84" s="16"/>
      <c r="B84" s="77">
        <f t="shared" si="7"/>
        <v>76</v>
      </c>
      <c r="C84" s="17" t="s">
        <v>105</v>
      </c>
      <c r="D84" s="18" t="s">
        <v>14</v>
      </c>
      <c r="E84" s="18" t="s">
        <v>8</v>
      </c>
      <c r="F84" s="19">
        <f t="shared" si="19"/>
        <v>0.8</v>
      </c>
      <c r="G84" s="19">
        <v>30</v>
      </c>
      <c r="H84" s="30">
        <f t="shared" si="2"/>
        <v>24</v>
      </c>
      <c r="I84" s="56" t="s">
        <v>14</v>
      </c>
      <c r="J84" s="19">
        <f t="shared" si="18"/>
        <v>1</v>
      </c>
      <c r="K84" s="19">
        <v>45</v>
      </c>
      <c r="L84" s="21">
        <f t="shared" si="21"/>
        <v>45</v>
      </c>
      <c r="M84" s="57">
        <v>30</v>
      </c>
      <c r="N84" s="58">
        <f t="shared" si="15"/>
        <v>75</v>
      </c>
      <c r="O84" s="21">
        <f t="shared" si="17"/>
        <v>99</v>
      </c>
      <c r="P84" s="39"/>
      <c r="Q84" s="39"/>
      <c r="R84" s="39"/>
      <c r="S84" s="39"/>
      <c r="T84" s="39"/>
      <c r="U84" s="39"/>
      <c r="V84" s="39"/>
    </row>
    <row r="85" spans="1:22" ht="18" customHeight="1">
      <c r="A85" s="16">
        <v>84</v>
      </c>
      <c r="B85" s="77">
        <f t="shared" si="7"/>
        <v>77</v>
      </c>
      <c r="C85" s="17" t="s">
        <v>106</v>
      </c>
      <c r="D85" s="18" t="s">
        <v>11</v>
      </c>
      <c r="E85" s="18" t="s">
        <v>8</v>
      </c>
      <c r="F85" s="19">
        <f t="shared" ref="F85:F103" si="22">(0.5*(IF(E85="AB",0,(IF(E85="NA",0,(IF(E85="P",0.6,(IF(E85="M",0.8,(IF(E85="D",1,"False Entry")))))))))))+(0.5*(IF(D85="AB",0,(IF(D85="NA",0,(IF(D85="P",0.6,(IF(D85="M",0.8,(IF(D85="D",1,"False Entry")))))))))))</f>
        <v>0.7</v>
      </c>
      <c r="G85" s="19">
        <v>30</v>
      </c>
      <c r="H85" s="30">
        <f t="shared" ref="H85:H103" si="23">ROUNDUP(F85*G85,0)</f>
        <v>21</v>
      </c>
      <c r="I85" s="56" t="s">
        <v>14</v>
      </c>
      <c r="J85" s="19">
        <f t="shared" ref="J85:J127" si="24">(IF(I85="AB",0,IF(I85="NA",0,IF(I85="P",0.6,IF(I85="M",0.8,IF(I85="D",1,"False Entry"))))))</f>
        <v>1</v>
      </c>
      <c r="K85" s="19">
        <v>45</v>
      </c>
      <c r="L85" s="21">
        <f t="shared" ref="L85:L103" si="25">J85*K85</f>
        <v>45</v>
      </c>
      <c r="M85" s="57">
        <v>29</v>
      </c>
      <c r="N85" s="58">
        <f t="shared" ref="N85:N104" si="26">ROUNDUP(M85+L85,0)</f>
        <v>74</v>
      </c>
      <c r="O85" s="21">
        <f t="shared" si="17"/>
        <v>95</v>
      </c>
      <c r="P85" s="39"/>
      <c r="Q85" s="39"/>
      <c r="R85" s="39"/>
      <c r="S85" s="39"/>
      <c r="T85" s="39"/>
      <c r="U85" s="39"/>
      <c r="V85" s="39"/>
    </row>
    <row r="86" spans="1:22" ht="18" customHeight="1">
      <c r="A86" s="16">
        <v>85</v>
      </c>
      <c r="B86" s="77">
        <f t="shared" si="7"/>
        <v>78</v>
      </c>
      <c r="C86" s="17" t="s">
        <v>107</v>
      </c>
      <c r="D86" s="18" t="s">
        <v>11</v>
      </c>
      <c r="E86" s="18" t="s">
        <v>8</v>
      </c>
      <c r="F86" s="19">
        <f t="shared" si="22"/>
        <v>0.7</v>
      </c>
      <c r="G86" s="19">
        <v>30</v>
      </c>
      <c r="H86" s="30">
        <f t="shared" si="23"/>
        <v>21</v>
      </c>
      <c r="I86" s="56" t="s">
        <v>14</v>
      </c>
      <c r="J86" s="19">
        <f t="shared" si="24"/>
        <v>1</v>
      </c>
      <c r="K86" s="19">
        <v>45</v>
      </c>
      <c r="L86" s="21">
        <f t="shared" si="25"/>
        <v>45</v>
      </c>
      <c r="M86" s="57">
        <v>29</v>
      </c>
      <c r="N86" s="58">
        <f t="shared" si="26"/>
        <v>74</v>
      </c>
      <c r="O86" s="21">
        <f t="shared" si="17"/>
        <v>95</v>
      </c>
      <c r="P86" s="39"/>
      <c r="Q86" s="39"/>
      <c r="R86" s="39"/>
      <c r="S86" s="39"/>
      <c r="T86" s="39"/>
      <c r="U86" s="39"/>
      <c r="V86" s="39"/>
    </row>
    <row r="87" spans="1:22" ht="18" customHeight="1">
      <c r="A87" s="16">
        <v>86</v>
      </c>
      <c r="B87" s="77">
        <f t="shared" si="7"/>
        <v>79</v>
      </c>
      <c r="C87" s="17" t="s">
        <v>108</v>
      </c>
      <c r="D87" s="18" t="s">
        <v>4</v>
      </c>
      <c r="E87" s="18" t="s">
        <v>4</v>
      </c>
      <c r="F87" s="19">
        <f t="shared" si="22"/>
        <v>0</v>
      </c>
      <c r="G87" s="19">
        <v>30</v>
      </c>
      <c r="H87" s="30">
        <f t="shared" si="23"/>
        <v>0</v>
      </c>
      <c r="I87" s="56" t="s">
        <v>14</v>
      </c>
      <c r="J87" s="19">
        <f t="shared" si="24"/>
        <v>1</v>
      </c>
      <c r="K87" s="19">
        <v>45</v>
      </c>
      <c r="L87" s="21">
        <f t="shared" si="25"/>
        <v>45</v>
      </c>
      <c r="M87" s="57">
        <v>24</v>
      </c>
      <c r="N87" s="58">
        <f t="shared" si="26"/>
        <v>69</v>
      </c>
      <c r="O87" s="21">
        <f t="shared" si="17"/>
        <v>69</v>
      </c>
      <c r="P87" s="39"/>
      <c r="Q87" s="39"/>
      <c r="R87" s="39"/>
      <c r="S87" s="39"/>
      <c r="T87" s="39"/>
      <c r="U87" s="39"/>
      <c r="V87" s="39"/>
    </row>
    <row r="88" spans="1:22" ht="18" customHeight="1">
      <c r="A88" s="16">
        <v>87</v>
      </c>
      <c r="B88" s="77">
        <f t="shared" si="7"/>
        <v>80</v>
      </c>
      <c r="C88" s="17" t="s">
        <v>109</v>
      </c>
      <c r="D88" s="18" t="s">
        <v>11</v>
      </c>
      <c r="E88" s="18" t="s">
        <v>6</v>
      </c>
      <c r="F88" s="19">
        <f t="shared" si="22"/>
        <v>0.4</v>
      </c>
      <c r="G88" s="19">
        <v>30</v>
      </c>
      <c r="H88" s="30">
        <f t="shared" si="23"/>
        <v>12</v>
      </c>
      <c r="I88" s="56" t="s">
        <v>14</v>
      </c>
      <c r="J88" s="19">
        <f t="shared" si="24"/>
        <v>1</v>
      </c>
      <c r="K88" s="19">
        <v>45</v>
      </c>
      <c r="L88" s="21">
        <f t="shared" si="25"/>
        <v>45</v>
      </c>
      <c r="M88" s="57">
        <v>28</v>
      </c>
      <c r="N88" s="58">
        <f t="shared" si="26"/>
        <v>73</v>
      </c>
      <c r="O88" s="21">
        <f t="shared" si="17"/>
        <v>85</v>
      </c>
      <c r="P88" s="39"/>
      <c r="Q88" s="39"/>
      <c r="R88" s="39"/>
      <c r="S88" s="39"/>
      <c r="T88" s="39"/>
      <c r="U88" s="39"/>
      <c r="V88" s="39"/>
    </row>
    <row r="89" spans="1:22" ht="18" customHeight="1">
      <c r="A89" s="16">
        <v>88</v>
      </c>
      <c r="B89" s="77">
        <f t="shared" si="7"/>
        <v>81</v>
      </c>
      <c r="C89" s="17" t="s">
        <v>110</v>
      </c>
      <c r="D89" s="18" t="s">
        <v>4</v>
      </c>
      <c r="E89" s="18" t="s">
        <v>4</v>
      </c>
      <c r="F89" s="19">
        <f t="shared" si="22"/>
        <v>0</v>
      </c>
      <c r="G89" s="19">
        <v>30</v>
      </c>
      <c r="H89" s="30">
        <f t="shared" si="23"/>
        <v>0</v>
      </c>
      <c r="I89" s="56" t="s">
        <v>4</v>
      </c>
      <c r="J89" s="19">
        <f t="shared" si="24"/>
        <v>0</v>
      </c>
      <c r="K89" s="19">
        <v>45</v>
      </c>
      <c r="L89" s="21">
        <f t="shared" si="25"/>
        <v>0</v>
      </c>
      <c r="M89" s="57">
        <v>0</v>
      </c>
      <c r="N89" s="58">
        <f t="shared" si="26"/>
        <v>0</v>
      </c>
      <c r="O89" s="21">
        <f t="shared" si="17"/>
        <v>0</v>
      </c>
      <c r="P89" s="39"/>
      <c r="Q89" s="39"/>
      <c r="R89" s="39"/>
      <c r="S89" s="39"/>
      <c r="T89" s="39"/>
      <c r="U89" s="39"/>
      <c r="V89" s="39"/>
    </row>
    <row r="90" spans="1:22" ht="18" customHeight="1">
      <c r="A90" s="16">
        <v>89</v>
      </c>
      <c r="B90" s="77">
        <f t="shared" si="7"/>
        <v>82</v>
      </c>
      <c r="C90" s="17" t="s">
        <v>111</v>
      </c>
      <c r="D90" s="18" t="s">
        <v>14</v>
      </c>
      <c r="E90" s="18" t="s">
        <v>11</v>
      </c>
      <c r="F90" s="19">
        <f t="shared" si="22"/>
        <v>0.9</v>
      </c>
      <c r="G90" s="19">
        <v>30</v>
      </c>
      <c r="H90" s="30">
        <f t="shared" si="23"/>
        <v>27</v>
      </c>
      <c r="I90" s="56" t="s">
        <v>14</v>
      </c>
      <c r="J90" s="19">
        <f t="shared" si="24"/>
        <v>1</v>
      </c>
      <c r="K90" s="19">
        <v>45</v>
      </c>
      <c r="L90" s="21">
        <f t="shared" si="25"/>
        <v>45</v>
      </c>
      <c r="M90" s="57">
        <v>29</v>
      </c>
      <c r="N90" s="58">
        <f t="shared" si="26"/>
        <v>74</v>
      </c>
      <c r="O90" s="21">
        <f t="shared" si="17"/>
        <v>101</v>
      </c>
      <c r="P90" s="39"/>
      <c r="Q90" s="39"/>
      <c r="R90" s="39"/>
      <c r="S90" s="39"/>
      <c r="T90" s="39"/>
      <c r="U90" s="39"/>
      <c r="V90" s="39"/>
    </row>
    <row r="91" spans="1:22" ht="18" customHeight="1">
      <c r="A91" s="16">
        <v>90</v>
      </c>
      <c r="B91" s="77">
        <f t="shared" si="7"/>
        <v>83</v>
      </c>
      <c r="C91" s="17" t="s">
        <v>112</v>
      </c>
      <c r="D91" s="18" t="s">
        <v>4</v>
      </c>
      <c r="E91" s="18" t="s">
        <v>4</v>
      </c>
      <c r="F91" s="19">
        <f t="shared" si="22"/>
        <v>0</v>
      </c>
      <c r="G91" s="19">
        <v>30</v>
      </c>
      <c r="H91" s="30">
        <f t="shared" si="23"/>
        <v>0</v>
      </c>
      <c r="I91" s="56" t="s">
        <v>4</v>
      </c>
      <c r="J91" s="19">
        <f t="shared" si="24"/>
        <v>0</v>
      </c>
      <c r="K91" s="19">
        <v>45</v>
      </c>
      <c r="L91" s="21">
        <f t="shared" si="25"/>
        <v>0</v>
      </c>
      <c r="M91" s="57">
        <v>0</v>
      </c>
      <c r="N91" s="58">
        <f t="shared" si="26"/>
        <v>0</v>
      </c>
      <c r="O91" s="21">
        <f t="shared" si="17"/>
        <v>0</v>
      </c>
      <c r="P91" s="39"/>
      <c r="Q91" s="39"/>
      <c r="R91" s="39"/>
      <c r="S91" s="39"/>
      <c r="T91" s="39"/>
      <c r="U91" s="39"/>
      <c r="V91" s="39"/>
    </row>
    <row r="92" spans="1:22" ht="18" customHeight="1">
      <c r="A92" s="16">
        <v>91</v>
      </c>
      <c r="B92" s="77">
        <f t="shared" si="7"/>
        <v>84</v>
      </c>
      <c r="C92" s="17" t="s">
        <v>113</v>
      </c>
      <c r="D92" s="18" t="s">
        <v>6</v>
      </c>
      <c r="E92" s="18" t="s">
        <v>6</v>
      </c>
      <c r="F92" s="19">
        <f t="shared" si="22"/>
        <v>0</v>
      </c>
      <c r="G92" s="19">
        <v>30</v>
      </c>
      <c r="H92" s="30">
        <f t="shared" si="23"/>
        <v>0</v>
      </c>
      <c r="I92" s="56" t="s">
        <v>14</v>
      </c>
      <c r="J92" s="19">
        <f t="shared" si="24"/>
        <v>1</v>
      </c>
      <c r="K92" s="19">
        <v>45</v>
      </c>
      <c r="L92" s="21">
        <f t="shared" si="25"/>
        <v>45</v>
      </c>
      <c r="M92" s="57">
        <v>7</v>
      </c>
      <c r="N92" s="58">
        <f t="shared" si="26"/>
        <v>52</v>
      </c>
      <c r="O92" s="21">
        <f t="shared" si="17"/>
        <v>52</v>
      </c>
      <c r="P92" s="39"/>
      <c r="Q92" s="39"/>
      <c r="R92" s="39"/>
      <c r="S92" s="39"/>
      <c r="T92" s="39"/>
      <c r="U92" s="39"/>
      <c r="V92" s="39"/>
    </row>
    <row r="93" spans="1:22" ht="18" customHeight="1">
      <c r="A93" s="16">
        <v>93</v>
      </c>
      <c r="B93" s="77">
        <f t="shared" si="7"/>
        <v>85</v>
      </c>
      <c r="C93" s="17" t="s">
        <v>114</v>
      </c>
      <c r="D93" s="18" t="s">
        <v>4</v>
      </c>
      <c r="E93" s="18" t="s">
        <v>4</v>
      </c>
      <c r="F93" s="19">
        <f t="shared" si="22"/>
        <v>0</v>
      </c>
      <c r="G93" s="19">
        <v>30</v>
      </c>
      <c r="H93" s="30">
        <f t="shared" si="23"/>
        <v>0</v>
      </c>
      <c r="I93" s="56" t="s">
        <v>4</v>
      </c>
      <c r="J93" s="19">
        <f t="shared" si="24"/>
        <v>0</v>
      </c>
      <c r="K93" s="19">
        <v>45</v>
      </c>
      <c r="L93" s="21">
        <f t="shared" si="25"/>
        <v>0</v>
      </c>
      <c r="M93" s="57">
        <v>0</v>
      </c>
      <c r="N93" s="58">
        <f t="shared" si="26"/>
        <v>0</v>
      </c>
      <c r="O93" s="21">
        <f t="shared" si="17"/>
        <v>0</v>
      </c>
      <c r="P93" s="39"/>
      <c r="Q93" s="39"/>
      <c r="R93" s="39"/>
      <c r="S93" s="39"/>
      <c r="T93" s="39"/>
      <c r="U93" s="39"/>
      <c r="V93" s="39"/>
    </row>
    <row r="94" spans="1:22" ht="18" customHeight="1">
      <c r="A94" s="16">
        <v>94</v>
      </c>
      <c r="B94" s="77">
        <f t="shared" ref="B94:B180" si="27">ROW(B86)</f>
        <v>86</v>
      </c>
      <c r="C94" s="17" t="s">
        <v>115</v>
      </c>
      <c r="D94" s="18" t="s">
        <v>11</v>
      </c>
      <c r="E94" s="18" t="s">
        <v>11</v>
      </c>
      <c r="F94" s="19">
        <f t="shared" si="22"/>
        <v>0.8</v>
      </c>
      <c r="G94" s="19">
        <v>30</v>
      </c>
      <c r="H94" s="30">
        <f t="shared" si="23"/>
        <v>24</v>
      </c>
      <c r="I94" s="56" t="s">
        <v>14</v>
      </c>
      <c r="J94" s="19">
        <f t="shared" si="24"/>
        <v>1</v>
      </c>
      <c r="K94" s="19">
        <v>45</v>
      </c>
      <c r="L94" s="21">
        <f t="shared" si="25"/>
        <v>45</v>
      </c>
      <c r="M94" s="57">
        <v>27</v>
      </c>
      <c r="N94" s="58">
        <f t="shared" si="26"/>
        <v>72</v>
      </c>
      <c r="O94" s="21">
        <f t="shared" si="17"/>
        <v>96</v>
      </c>
      <c r="P94" s="39"/>
      <c r="Q94" s="39"/>
      <c r="R94" s="39"/>
      <c r="S94" s="39"/>
      <c r="T94" s="39"/>
      <c r="U94" s="39"/>
      <c r="V94" s="39"/>
    </row>
    <row r="95" spans="1:22" ht="18" customHeight="1">
      <c r="A95" s="16">
        <v>95</v>
      </c>
      <c r="B95" s="77">
        <f t="shared" si="27"/>
        <v>87</v>
      </c>
      <c r="C95" s="17" t="s">
        <v>116</v>
      </c>
      <c r="D95" s="18" t="s">
        <v>6</v>
      </c>
      <c r="E95" s="18" t="s">
        <v>6</v>
      </c>
      <c r="F95" s="19">
        <f t="shared" si="22"/>
        <v>0</v>
      </c>
      <c r="G95" s="19">
        <v>30</v>
      </c>
      <c r="H95" s="30">
        <f t="shared" si="23"/>
        <v>0</v>
      </c>
      <c r="I95" s="56" t="s">
        <v>11</v>
      </c>
      <c r="J95" s="19">
        <f t="shared" si="24"/>
        <v>0.8</v>
      </c>
      <c r="K95" s="19">
        <v>45</v>
      </c>
      <c r="L95" s="21">
        <f t="shared" si="25"/>
        <v>36</v>
      </c>
      <c r="M95" s="57">
        <v>29</v>
      </c>
      <c r="N95" s="58">
        <f t="shared" si="26"/>
        <v>65</v>
      </c>
      <c r="O95" s="21">
        <f t="shared" si="17"/>
        <v>65</v>
      </c>
      <c r="P95" s="39"/>
      <c r="Q95" s="39"/>
      <c r="R95" s="39"/>
      <c r="S95" s="39"/>
      <c r="T95" s="39"/>
      <c r="U95" s="39"/>
      <c r="V95" s="39"/>
    </row>
    <row r="96" spans="1:22" ht="18" customHeight="1">
      <c r="A96" s="16">
        <v>96</v>
      </c>
      <c r="B96" s="77">
        <f t="shared" si="27"/>
        <v>88</v>
      </c>
      <c r="C96" s="17" t="s">
        <v>117</v>
      </c>
      <c r="D96" s="18" t="s">
        <v>11</v>
      </c>
      <c r="E96" s="18" t="s">
        <v>8</v>
      </c>
      <c r="F96" s="19">
        <f t="shared" si="22"/>
        <v>0.7</v>
      </c>
      <c r="G96" s="19">
        <v>30</v>
      </c>
      <c r="H96" s="30">
        <f t="shared" si="23"/>
        <v>21</v>
      </c>
      <c r="I96" s="56" t="s">
        <v>14</v>
      </c>
      <c r="J96" s="19">
        <f t="shared" si="24"/>
        <v>1</v>
      </c>
      <c r="K96" s="19">
        <v>45</v>
      </c>
      <c r="L96" s="21">
        <f t="shared" si="25"/>
        <v>45</v>
      </c>
      <c r="M96" s="57">
        <v>18</v>
      </c>
      <c r="N96" s="58">
        <f t="shared" si="26"/>
        <v>63</v>
      </c>
      <c r="O96" s="21">
        <f t="shared" si="17"/>
        <v>84</v>
      </c>
      <c r="P96" s="39"/>
      <c r="Q96" s="39"/>
      <c r="R96" s="39"/>
      <c r="S96" s="39"/>
      <c r="T96" s="39"/>
      <c r="U96" s="39"/>
      <c r="V96" s="39"/>
    </row>
    <row r="97" spans="1:27" s="1" customFormat="1" ht="15.75" customHeight="1">
      <c r="B97" s="77">
        <f t="shared" si="27"/>
        <v>89</v>
      </c>
      <c r="C97" s="80" t="s">
        <v>118</v>
      </c>
      <c r="D97" s="24" t="s">
        <v>4</v>
      </c>
      <c r="E97" s="24" t="s">
        <v>4</v>
      </c>
      <c r="F97" s="28">
        <f t="shared" si="22"/>
        <v>0</v>
      </c>
      <c r="G97" s="29">
        <v>30</v>
      </c>
      <c r="H97" s="26">
        <f t="shared" si="23"/>
        <v>0</v>
      </c>
      <c r="I97" s="24" t="s">
        <v>4</v>
      </c>
      <c r="J97" s="28">
        <f t="shared" si="24"/>
        <v>0</v>
      </c>
      <c r="K97" s="29">
        <v>45</v>
      </c>
      <c r="L97" s="66">
        <f t="shared" si="25"/>
        <v>0</v>
      </c>
      <c r="M97" s="67">
        <v>17</v>
      </c>
      <c r="N97" s="68">
        <f t="shared" si="26"/>
        <v>17</v>
      </c>
      <c r="O97" s="69">
        <f t="shared" si="17"/>
        <v>17</v>
      </c>
    </row>
    <row r="98" spans="1:27" ht="15.75" customHeight="1">
      <c r="B98" s="77">
        <f t="shared" si="27"/>
        <v>90</v>
      </c>
      <c r="C98" s="31" t="s">
        <v>119</v>
      </c>
      <c r="D98" s="24" t="s">
        <v>11</v>
      </c>
      <c r="E98" s="24" t="s">
        <v>8</v>
      </c>
      <c r="F98" s="25">
        <f t="shared" si="22"/>
        <v>0.7</v>
      </c>
      <c r="G98" s="19">
        <v>30</v>
      </c>
      <c r="H98" s="26">
        <f t="shared" si="23"/>
        <v>21</v>
      </c>
      <c r="I98" s="59" t="s">
        <v>14</v>
      </c>
      <c r="J98" s="25">
        <f t="shared" si="24"/>
        <v>1</v>
      </c>
      <c r="K98" s="64">
        <v>45</v>
      </c>
      <c r="L98" s="60">
        <f t="shared" si="25"/>
        <v>45</v>
      </c>
      <c r="M98" s="61">
        <v>25</v>
      </c>
      <c r="N98" s="62">
        <f t="shared" si="26"/>
        <v>70</v>
      </c>
      <c r="O98" s="21">
        <f t="shared" si="17"/>
        <v>91</v>
      </c>
    </row>
    <row r="99" spans="1:27" ht="18" customHeight="1">
      <c r="A99" s="16">
        <v>97</v>
      </c>
      <c r="B99" s="77">
        <f t="shared" si="27"/>
        <v>91</v>
      </c>
      <c r="C99" s="17" t="s">
        <v>120</v>
      </c>
      <c r="D99" s="18" t="s">
        <v>11</v>
      </c>
      <c r="E99" s="18" t="s">
        <v>11</v>
      </c>
      <c r="F99" s="19">
        <f t="shared" si="22"/>
        <v>0.8</v>
      </c>
      <c r="G99" s="19">
        <v>30</v>
      </c>
      <c r="H99" s="30">
        <f t="shared" si="23"/>
        <v>24</v>
      </c>
      <c r="I99" s="56" t="s">
        <v>14</v>
      </c>
      <c r="J99" s="19">
        <f t="shared" si="24"/>
        <v>1</v>
      </c>
      <c r="K99" s="19">
        <v>45</v>
      </c>
      <c r="L99" s="21">
        <f t="shared" si="25"/>
        <v>45</v>
      </c>
      <c r="M99" s="57">
        <v>30</v>
      </c>
      <c r="N99" s="58">
        <f t="shared" si="26"/>
        <v>75</v>
      </c>
      <c r="O99" s="21">
        <f t="shared" si="17"/>
        <v>99</v>
      </c>
      <c r="P99" s="39"/>
      <c r="Q99" s="39"/>
      <c r="R99" s="39"/>
      <c r="S99" s="39"/>
      <c r="T99" s="39"/>
      <c r="U99" s="39"/>
      <c r="V99" s="39"/>
    </row>
    <row r="100" spans="1:27" ht="18" customHeight="1">
      <c r="A100" s="16">
        <v>98</v>
      </c>
      <c r="B100" s="77">
        <f t="shared" si="27"/>
        <v>92</v>
      </c>
      <c r="C100" s="17" t="s">
        <v>121</v>
      </c>
      <c r="D100" s="18" t="s">
        <v>14</v>
      </c>
      <c r="E100" s="18" t="s">
        <v>11</v>
      </c>
      <c r="F100" s="19">
        <f t="shared" si="22"/>
        <v>0.9</v>
      </c>
      <c r="G100" s="19">
        <v>30</v>
      </c>
      <c r="H100" s="30">
        <f t="shared" si="23"/>
        <v>27</v>
      </c>
      <c r="I100" s="56" t="s">
        <v>14</v>
      </c>
      <c r="J100" s="19">
        <f t="shared" si="24"/>
        <v>1</v>
      </c>
      <c r="K100" s="19">
        <v>45</v>
      </c>
      <c r="L100" s="21">
        <f t="shared" si="25"/>
        <v>45</v>
      </c>
      <c r="M100" s="57">
        <v>30</v>
      </c>
      <c r="N100" s="58">
        <f t="shared" si="26"/>
        <v>75</v>
      </c>
      <c r="O100" s="21">
        <f t="shared" si="17"/>
        <v>102</v>
      </c>
      <c r="P100" s="39"/>
      <c r="Q100" s="39"/>
      <c r="R100" s="39"/>
      <c r="S100" s="39"/>
      <c r="T100" s="39"/>
      <c r="U100" s="39"/>
      <c r="V100" s="39"/>
    </row>
    <row r="101" spans="1:27" ht="18" customHeight="1">
      <c r="A101" s="16">
        <v>99</v>
      </c>
      <c r="B101" s="77">
        <f t="shared" si="27"/>
        <v>93</v>
      </c>
      <c r="C101" s="17" t="s">
        <v>122</v>
      </c>
      <c r="D101" s="18" t="s">
        <v>14</v>
      </c>
      <c r="E101" s="18" t="s">
        <v>11</v>
      </c>
      <c r="F101" s="19">
        <f t="shared" si="22"/>
        <v>0.9</v>
      </c>
      <c r="G101" s="19">
        <v>30</v>
      </c>
      <c r="H101" s="30">
        <f t="shared" si="23"/>
        <v>27</v>
      </c>
      <c r="I101" s="56" t="s">
        <v>14</v>
      </c>
      <c r="J101" s="19">
        <f t="shared" si="24"/>
        <v>1</v>
      </c>
      <c r="K101" s="19">
        <v>45</v>
      </c>
      <c r="L101" s="21">
        <f t="shared" si="25"/>
        <v>45</v>
      </c>
      <c r="M101" s="57">
        <v>30</v>
      </c>
      <c r="N101" s="58">
        <f t="shared" si="26"/>
        <v>75</v>
      </c>
      <c r="O101" s="21">
        <f t="shared" si="17"/>
        <v>102</v>
      </c>
      <c r="P101" s="39"/>
      <c r="Q101" s="39"/>
      <c r="R101" s="39"/>
      <c r="S101" s="39"/>
      <c r="T101" s="39"/>
      <c r="U101" s="39"/>
      <c r="V101" s="39"/>
    </row>
    <row r="102" spans="1:27" ht="18" customHeight="1">
      <c r="A102" s="16">
        <v>1</v>
      </c>
      <c r="B102" s="77">
        <f t="shared" si="27"/>
        <v>94</v>
      </c>
      <c r="C102" s="17" t="s">
        <v>123</v>
      </c>
      <c r="D102" s="18" t="s">
        <v>14</v>
      </c>
      <c r="E102" s="18" t="s">
        <v>14</v>
      </c>
      <c r="F102" s="19">
        <f t="shared" si="22"/>
        <v>1</v>
      </c>
      <c r="G102" s="19">
        <v>30</v>
      </c>
      <c r="H102" s="30">
        <f t="shared" si="23"/>
        <v>30</v>
      </c>
      <c r="I102" s="56" t="s">
        <v>14</v>
      </c>
      <c r="J102" s="19">
        <f t="shared" si="24"/>
        <v>1</v>
      </c>
      <c r="K102" s="19">
        <v>45</v>
      </c>
      <c r="L102" s="21">
        <f t="shared" si="25"/>
        <v>45</v>
      </c>
      <c r="M102" s="57">
        <v>30</v>
      </c>
      <c r="N102" s="58">
        <f t="shared" si="26"/>
        <v>75</v>
      </c>
      <c r="O102" s="21">
        <f t="shared" si="17"/>
        <v>105</v>
      </c>
      <c r="P102" s="39"/>
      <c r="Q102" s="39"/>
      <c r="R102" s="39"/>
      <c r="S102" s="39"/>
      <c r="T102" s="39"/>
      <c r="U102" s="39"/>
      <c r="V102" s="39"/>
    </row>
    <row r="103" spans="1:27" ht="18" customHeight="1">
      <c r="A103" s="16"/>
      <c r="B103" s="77">
        <f t="shared" si="27"/>
        <v>95</v>
      </c>
      <c r="C103" s="17" t="s">
        <v>124</v>
      </c>
      <c r="D103" s="18" t="s">
        <v>11</v>
      </c>
      <c r="E103" s="18" t="s">
        <v>11</v>
      </c>
      <c r="F103" s="19">
        <f t="shared" si="22"/>
        <v>0.8</v>
      </c>
      <c r="G103" s="19">
        <v>30</v>
      </c>
      <c r="H103" s="30">
        <f t="shared" si="23"/>
        <v>24</v>
      </c>
      <c r="I103" s="56" t="s">
        <v>11</v>
      </c>
      <c r="J103" s="19">
        <f t="shared" si="24"/>
        <v>0.8</v>
      </c>
      <c r="K103" s="19">
        <v>45</v>
      </c>
      <c r="L103" s="21">
        <f t="shared" si="25"/>
        <v>36</v>
      </c>
      <c r="M103" s="57">
        <v>30</v>
      </c>
      <c r="N103" s="58">
        <f t="shared" si="26"/>
        <v>66</v>
      </c>
      <c r="O103" s="21">
        <f t="shared" si="17"/>
        <v>90</v>
      </c>
      <c r="P103" s="39"/>
      <c r="Q103" s="39"/>
      <c r="R103" s="39"/>
      <c r="S103" s="39"/>
      <c r="T103" s="39"/>
      <c r="U103" s="39"/>
      <c r="V103" s="39"/>
    </row>
    <row r="104" spans="1:27" ht="18" customHeight="1">
      <c r="A104" s="16">
        <v>2</v>
      </c>
      <c r="B104" s="77">
        <f t="shared" si="27"/>
        <v>96</v>
      </c>
      <c r="C104" s="17" t="s">
        <v>125</v>
      </c>
      <c r="D104" s="18" t="s">
        <v>4</v>
      </c>
      <c r="E104" s="18" t="s">
        <v>4</v>
      </c>
      <c r="F104" s="19">
        <f t="shared" ref="F104:F111" si="28">(0.5*(IF(E104="AB",0,(IF(E104="NA",0,(IF(E104="P",0.6,(IF(E104="M",0.8,(IF(E104="D",1,"False Entry")))))))))))+(0.5*(IF(D104="AB",0,(IF(D104="NA",0,(IF(D104="P",0.6,(IF(D104="M",0.8,(IF(D104="D",1,"False Entry")))))))))))</f>
        <v>0</v>
      </c>
      <c r="G104" s="19">
        <v>30</v>
      </c>
      <c r="H104" s="30">
        <f t="shared" ref="H104:H111" si="29">ROUNDUP(F104*G104,0)</f>
        <v>0</v>
      </c>
      <c r="I104" s="56" t="s">
        <v>4</v>
      </c>
      <c r="J104" s="19">
        <f t="shared" si="24"/>
        <v>0</v>
      </c>
      <c r="K104" s="19">
        <v>45</v>
      </c>
      <c r="L104" s="21">
        <f t="shared" ref="L104:L111" si="30">J104*K104</f>
        <v>0</v>
      </c>
      <c r="M104" s="57">
        <v>0</v>
      </c>
      <c r="N104" s="58">
        <f t="shared" si="26"/>
        <v>0</v>
      </c>
      <c r="O104" s="21">
        <f t="shared" ref="O104:O123" si="31">H104+N104</f>
        <v>0</v>
      </c>
      <c r="P104" s="39"/>
      <c r="Q104" s="39"/>
      <c r="R104" s="39"/>
      <c r="S104" s="39"/>
      <c r="T104" s="39"/>
      <c r="U104" s="39"/>
      <c r="V104" s="39"/>
    </row>
    <row r="105" spans="1:27" ht="18" customHeight="1">
      <c r="A105" s="16">
        <v>3</v>
      </c>
      <c r="B105" s="77">
        <f t="shared" si="27"/>
        <v>97</v>
      </c>
      <c r="C105" s="17" t="s">
        <v>126</v>
      </c>
      <c r="D105" s="18" t="s">
        <v>14</v>
      </c>
      <c r="E105" s="18" t="s">
        <v>14</v>
      </c>
      <c r="F105" s="19">
        <f t="shared" si="28"/>
        <v>1</v>
      </c>
      <c r="G105" s="19">
        <v>30</v>
      </c>
      <c r="H105" s="30">
        <f t="shared" si="29"/>
        <v>30</v>
      </c>
      <c r="I105" s="56" t="s">
        <v>14</v>
      </c>
      <c r="J105" s="19">
        <f t="shared" si="24"/>
        <v>1</v>
      </c>
      <c r="K105" s="19">
        <v>45</v>
      </c>
      <c r="L105" s="21">
        <f t="shared" si="30"/>
        <v>45</v>
      </c>
      <c r="M105" s="57">
        <v>29</v>
      </c>
      <c r="N105" s="58">
        <f t="shared" ref="N105:N127" si="32">ROUNDUP(M105+L105,0)</f>
        <v>74</v>
      </c>
      <c r="O105" s="21">
        <f t="shared" si="31"/>
        <v>104</v>
      </c>
      <c r="P105" s="39"/>
      <c r="Q105" s="39"/>
      <c r="R105" s="39"/>
      <c r="S105" s="39"/>
      <c r="T105" s="39"/>
      <c r="U105" s="39"/>
      <c r="V105" s="39"/>
    </row>
    <row r="106" spans="1:27" ht="18" customHeight="1">
      <c r="A106" s="16">
        <v>4</v>
      </c>
      <c r="B106" s="77">
        <f t="shared" si="27"/>
        <v>98</v>
      </c>
      <c r="C106" s="17" t="s">
        <v>127</v>
      </c>
      <c r="D106" s="18" t="s">
        <v>11</v>
      </c>
      <c r="E106" s="18" t="s">
        <v>8</v>
      </c>
      <c r="F106" s="19">
        <f t="shared" si="28"/>
        <v>0.7</v>
      </c>
      <c r="G106" s="19">
        <v>30</v>
      </c>
      <c r="H106" s="30">
        <f t="shared" si="29"/>
        <v>21</v>
      </c>
      <c r="I106" s="56" t="s">
        <v>14</v>
      </c>
      <c r="J106" s="19">
        <f t="shared" si="24"/>
        <v>1</v>
      </c>
      <c r="K106" s="19">
        <v>45</v>
      </c>
      <c r="L106" s="21">
        <f t="shared" si="30"/>
        <v>45</v>
      </c>
      <c r="M106" s="57">
        <v>28</v>
      </c>
      <c r="N106" s="58">
        <f t="shared" si="32"/>
        <v>73</v>
      </c>
      <c r="O106" s="21">
        <f t="shared" si="31"/>
        <v>94</v>
      </c>
      <c r="P106" s="39"/>
      <c r="Q106" s="39"/>
      <c r="R106" s="39"/>
      <c r="S106" s="39"/>
      <c r="T106" s="39"/>
      <c r="U106" s="39"/>
      <c r="V106" s="39"/>
    </row>
    <row r="107" spans="1:27" ht="18" customHeight="1">
      <c r="A107" s="16">
        <v>5</v>
      </c>
      <c r="B107" s="77">
        <f t="shared" si="27"/>
        <v>99</v>
      </c>
      <c r="C107" s="17" t="s">
        <v>128</v>
      </c>
      <c r="D107" s="18" t="s">
        <v>14</v>
      </c>
      <c r="E107" s="18" t="s">
        <v>8</v>
      </c>
      <c r="F107" s="19">
        <f t="shared" si="28"/>
        <v>0.8</v>
      </c>
      <c r="G107" s="19">
        <v>30</v>
      </c>
      <c r="H107" s="30">
        <f t="shared" si="29"/>
        <v>24</v>
      </c>
      <c r="I107" s="56" t="s">
        <v>11</v>
      </c>
      <c r="J107" s="19">
        <f t="shared" si="24"/>
        <v>0.8</v>
      </c>
      <c r="K107" s="19">
        <v>45</v>
      </c>
      <c r="L107" s="21">
        <f t="shared" si="30"/>
        <v>36</v>
      </c>
      <c r="M107" s="57">
        <v>29</v>
      </c>
      <c r="N107" s="58">
        <f t="shared" si="32"/>
        <v>65</v>
      </c>
      <c r="O107" s="21">
        <f t="shared" si="31"/>
        <v>89</v>
      </c>
      <c r="P107" s="39"/>
      <c r="Q107" s="39"/>
      <c r="R107" s="39"/>
      <c r="S107" s="39"/>
      <c r="T107" s="39"/>
      <c r="U107" s="39"/>
      <c r="V107" s="39"/>
    </row>
    <row r="108" spans="1:27" ht="18" customHeight="1">
      <c r="A108" s="16">
        <v>6</v>
      </c>
      <c r="B108" s="77">
        <f t="shared" si="27"/>
        <v>100</v>
      </c>
      <c r="C108" s="17" t="s">
        <v>129</v>
      </c>
      <c r="D108" s="18" t="s">
        <v>14</v>
      </c>
      <c r="E108" s="18" t="s">
        <v>14</v>
      </c>
      <c r="F108" s="19">
        <f t="shared" si="28"/>
        <v>1</v>
      </c>
      <c r="G108" s="19">
        <v>30</v>
      </c>
      <c r="H108" s="30">
        <f t="shared" si="29"/>
        <v>30</v>
      </c>
      <c r="I108" s="56" t="s">
        <v>11</v>
      </c>
      <c r="J108" s="19">
        <f t="shared" si="24"/>
        <v>0.8</v>
      </c>
      <c r="K108" s="19">
        <v>45</v>
      </c>
      <c r="L108" s="21">
        <f t="shared" si="30"/>
        <v>36</v>
      </c>
      <c r="M108" s="57">
        <v>28</v>
      </c>
      <c r="N108" s="58">
        <f t="shared" si="32"/>
        <v>64</v>
      </c>
      <c r="O108" s="21">
        <f t="shared" si="31"/>
        <v>94</v>
      </c>
      <c r="P108" s="39"/>
      <c r="Q108" s="39"/>
      <c r="R108" s="39"/>
      <c r="S108" s="39"/>
      <c r="T108" s="39"/>
      <c r="U108" s="39"/>
      <c r="V108" s="39"/>
    </row>
    <row r="109" spans="1:27" ht="18" customHeight="1">
      <c r="A109" s="16">
        <v>8</v>
      </c>
      <c r="B109" s="77">
        <f t="shared" si="27"/>
        <v>101</v>
      </c>
      <c r="C109" s="17" t="s">
        <v>130</v>
      </c>
      <c r="D109" s="18" t="s">
        <v>11</v>
      </c>
      <c r="E109" s="18" t="s">
        <v>14</v>
      </c>
      <c r="F109" s="19">
        <f t="shared" si="28"/>
        <v>0.9</v>
      </c>
      <c r="G109" s="19">
        <v>30</v>
      </c>
      <c r="H109" s="30">
        <f t="shared" si="29"/>
        <v>27</v>
      </c>
      <c r="I109" s="56" t="s">
        <v>14</v>
      </c>
      <c r="J109" s="19">
        <f t="shared" si="24"/>
        <v>1</v>
      </c>
      <c r="K109" s="19">
        <v>45</v>
      </c>
      <c r="L109" s="21">
        <f t="shared" si="30"/>
        <v>45</v>
      </c>
      <c r="M109" s="57">
        <v>30</v>
      </c>
      <c r="N109" s="91">
        <f t="shared" si="32"/>
        <v>75</v>
      </c>
      <c r="O109" s="21">
        <f t="shared" si="31"/>
        <v>102</v>
      </c>
      <c r="P109" s="39"/>
      <c r="Q109" s="39"/>
      <c r="R109" s="39"/>
      <c r="S109" s="39"/>
      <c r="T109" s="39"/>
      <c r="U109" s="39"/>
      <c r="V109" s="39"/>
    </row>
    <row r="110" spans="1:27" ht="18" customHeight="1">
      <c r="A110" s="16">
        <v>9</v>
      </c>
      <c r="B110" s="77">
        <f t="shared" si="27"/>
        <v>102</v>
      </c>
      <c r="C110" s="17" t="s">
        <v>131</v>
      </c>
      <c r="D110" s="18" t="s">
        <v>11</v>
      </c>
      <c r="E110" s="18" t="s">
        <v>8</v>
      </c>
      <c r="F110" s="19">
        <f t="shared" si="28"/>
        <v>0.7</v>
      </c>
      <c r="G110" s="19">
        <v>30</v>
      </c>
      <c r="H110" s="30">
        <f t="shared" si="29"/>
        <v>21</v>
      </c>
      <c r="I110" s="56" t="s">
        <v>14</v>
      </c>
      <c r="J110" s="19">
        <f t="shared" si="24"/>
        <v>1</v>
      </c>
      <c r="K110" s="19">
        <v>45</v>
      </c>
      <c r="L110" s="92">
        <f t="shared" si="30"/>
        <v>45</v>
      </c>
      <c r="M110" s="57">
        <v>20</v>
      </c>
      <c r="N110" s="91">
        <f t="shared" si="32"/>
        <v>65</v>
      </c>
      <c r="O110" s="21">
        <f t="shared" si="31"/>
        <v>86</v>
      </c>
      <c r="P110" s="39"/>
      <c r="Q110" s="39"/>
      <c r="R110" s="39"/>
      <c r="S110" s="39"/>
      <c r="T110" s="39"/>
      <c r="U110" s="39"/>
      <c r="V110" s="39"/>
    </row>
    <row r="111" spans="1:27" ht="18" customHeight="1">
      <c r="A111" s="16">
        <v>10</v>
      </c>
      <c r="B111" s="77">
        <f t="shared" si="27"/>
        <v>103</v>
      </c>
      <c r="C111" s="17" t="s">
        <v>132</v>
      </c>
      <c r="D111" s="24" t="s">
        <v>11</v>
      </c>
      <c r="E111" s="24" t="s">
        <v>14</v>
      </c>
      <c r="F111" s="81">
        <f t="shared" si="28"/>
        <v>0.9</v>
      </c>
      <c r="G111" s="82">
        <v>30</v>
      </c>
      <c r="H111" s="83">
        <f t="shared" si="29"/>
        <v>27</v>
      </c>
      <c r="I111" s="56" t="s">
        <v>11</v>
      </c>
      <c r="J111" s="19">
        <f t="shared" si="24"/>
        <v>0.8</v>
      </c>
      <c r="K111" s="25">
        <v>45</v>
      </c>
      <c r="L111" s="93">
        <f t="shared" si="30"/>
        <v>36</v>
      </c>
      <c r="M111" s="57">
        <v>29</v>
      </c>
      <c r="N111" s="91">
        <f t="shared" si="32"/>
        <v>65</v>
      </c>
      <c r="O111" s="60">
        <f t="shared" si="31"/>
        <v>92</v>
      </c>
      <c r="P111" s="39"/>
      <c r="Q111" s="39"/>
      <c r="R111" s="39"/>
      <c r="S111" s="39"/>
      <c r="T111" s="39"/>
      <c r="U111" s="39"/>
      <c r="V111" s="39"/>
    </row>
    <row r="112" spans="1:27" ht="18" customHeight="1">
      <c r="A112" s="84"/>
      <c r="B112" s="77">
        <f t="shared" si="27"/>
        <v>104</v>
      </c>
      <c r="C112" s="17" t="s">
        <v>133</v>
      </c>
      <c r="D112" s="24" t="s">
        <v>14</v>
      </c>
      <c r="E112" s="24" t="s">
        <v>14</v>
      </c>
      <c r="F112" s="85">
        <f t="shared" ref="F112:F122" si="33">(0.5*(IF(E112="AB",0,(IF(E112="NA",0,(IF(E112="P",0.6,(IF(E112="M",0.8,(IF(E112="D",1,"False Entry")))))))))))+(0.5*(IF(D112="AB",0,(IF(D112="NA",0,(IF(D112="P",0.6,(IF(D112="M",0.8,(IF(D112="D",1,"False Entry")))))))))))</f>
        <v>1</v>
      </c>
      <c r="G112" s="86">
        <v>30</v>
      </c>
      <c r="H112" s="87">
        <f t="shared" ref="H112:H122" si="34">ROUNDUP(F112*G112,0)</f>
        <v>30</v>
      </c>
      <c r="I112" s="56" t="s">
        <v>11</v>
      </c>
      <c r="J112" s="19">
        <f t="shared" si="24"/>
        <v>0.8</v>
      </c>
      <c r="K112" s="90">
        <v>45</v>
      </c>
      <c r="L112" s="94">
        <f t="shared" ref="L112:L122" si="35">J112*K112</f>
        <v>36</v>
      </c>
      <c r="M112" s="57">
        <v>27</v>
      </c>
      <c r="N112" s="91">
        <f t="shared" si="32"/>
        <v>63</v>
      </c>
      <c r="O112" s="95">
        <f t="shared" si="31"/>
        <v>93</v>
      </c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8" customHeight="1">
      <c r="A113" s="84"/>
      <c r="B113" s="77">
        <f t="shared" si="27"/>
        <v>105</v>
      </c>
      <c r="C113" s="17" t="s">
        <v>134</v>
      </c>
      <c r="D113" s="24" t="s">
        <v>11</v>
      </c>
      <c r="E113" s="24" t="s">
        <v>14</v>
      </c>
      <c r="F113" s="19">
        <f t="shared" si="33"/>
        <v>0.9</v>
      </c>
      <c r="G113" s="19">
        <v>30</v>
      </c>
      <c r="H113" s="30">
        <f t="shared" si="34"/>
        <v>27</v>
      </c>
      <c r="I113" s="56" t="s">
        <v>14</v>
      </c>
      <c r="J113" s="19">
        <f t="shared" si="24"/>
        <v>1</v>
      </c>
      <c r="K113" s="19">
        <v>45</v>
      </c>
      <c r="L113" s="21">
        <f t="shared" si="35"/>
        <v>45</v>
      </c>
      <c r="M113" s="57">
        <v>29</v>
      </c>
      <c r="N113" s="91">
        <f t="shared" si="32"/>
        <v>74</v>
      </c>
      <c r="O113" s="21">
        <f t="shared" si="31"/>
        <v>101</v>
      </c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5.75" customHeight="1">
      <c r="B114" s="77">
        <f t="shared" si="27"/>
        <v>106</v>
      </c>
      <c r="C114" s="31" t="s">
        <v>135</v>
      </c>
      <c r="D114" s="24" t="s">
        <v>14</v>
      </c>
      <c r="E114" s="24" t="s">
        <v>11</v>
      </c>
      <c r="F114" s="25">
        <f t="shared" si="33"/>
        <v>0.9</v>
      </c>
      <c r="G114" s="19">
        <v>30</v>
      </c>
      <c r="H114" s="26">
        <f t="shared" si="34"/>
        <v>27</v>
      </c>
      <c r="I114" s="59" t="s">
        <v>14</v>
      </c>
      <c r="J114" s="25">
        <f t="shared" si="24"/>
        <v>1</v>
      </c>
      <c r="K114" s="19">
        <v>45</v>
      </c>
      <c r="L114" s="60">
        <f t="shared" si="35"/>
        <v>45</v>
      </c>
      <c r="M114" s="61">
        <v>27</v>
      </c>
      <c r="N114" s="96">
        <f t="shared" si="32"/>
        <v>72</v>
      </c>
      <c r="O114" s="21">
        <f t="shared" si="31"/>
        <v>99</v>
      </c>
    </row>
    <row r="115" spans="1:27" ht="18" customHeight="1">
      <c r="A115" s="84"/>
      <c r="B115" s="77">
        <f t="shared" si="27"/>
        <v>107</v>
      </c>
      <c r="C115" s="17" t="s">
        <v>136</v>
      </c>
      <c r="D115" s="24" t="s">
        <v>11</v>
      </c>
      <c r="E115" s="24" t="s">
        <v>8</v>
      </c>
      <c r="F115" s="19">
        <f t="shared" si="33"/>
        <v>0.7</v>
      </c>
      <c r="G115" s="19">
        <v>30</v>
      </c>
      <c r="H115" s="30">
        <f t="shared" si="34"/>
        <v>21</v>
      </c>
      <c r="I115" s="56" t="s">
        <v>14</v>
      </c>
      <c r="J115" s="19">
        <f t="shared" si="24"/>
        <v>1</v>
      </c>
      <c r="K115" s="19">
        <v>45</v>
      </c>
      <c r="L115" s="21">
        <f t="shared" si="35"/>
        <v>45</v>
      </c>
      <c r="M115" s="57">
        <v>26</v>
      </c>
      <c r="N115" s="91">
        <f t="shared" si="32"/>
        <v>71</v>
      </c>
      <c r="O115" s="21">
        <f t="shared" si="31"/>
        <v>92</v>
      </c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8" customHeight="1">
      <c r="A116" s="84"/>
      <c r="B116" s="77">
        <f t="shared" si="27"/>
        <v>108</v>
      </c>
      <c r="C116" s="17" t="s">
        <v>137</v>
      </c>
      <c r="D116" s="24" t="s">
        <v>11</v>
      </c>
      <c r="E116" s="24" t="s">
        <v>14</v>
      </c>
      <c r="F116" s="19">
        <f t="shared" si="33"/>
        <v>0.9</v>
      </c>
      <c r="G116" s="19">
        <v>30</v>
      </c>
      <c r="H116" s="30">
        <f t="shared" si="34"/>
        <v>27</v>
      </c>
      <c r="I116" s="56" t="s">
        <v>14</v>
      </c>
      <c r="J116" s="19">
        <f t="shared" si="24"/>
        <v>1</v>
      </c>
      <c r="K116" s="19">
        <v>45</v>
      </c>
      <c r="L116" s="21">
        <f t="shared" si="35"/>
        <v>45</v>
      </c>
      <c r="M116" s="57">
        <v>30</v>
      </c>
      <c r="N116" s="91">
        <f t="shared" si="32"/>
        <v>75</v>
      </c>
      <c r="O116" s="21">
        <f t="shared" si="31"/>
        <v>102</v>
      </c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8" customHeight="1">
      <c r="A117" s="84"/>
      <c r="B117" s="77">
        <f t="shared" si="27"/>
        <v>109</v>
      </c>
      <c r="C117" s="17" t="s">
        <v>138</v>
      </c>
      <c r="D117" s="24" t="s">
        <v>11</v>
      </c>
      <c r="E117" s="24" t="s">
        <v>11</v>
      </c>
      <c r="F117" s="19">
        <f t="shared" si="33"/>
        <v>0.8</v>
      </c>
      <c r="G117" s="19">
        <v>30</v>
      </c>
      <c r="H117" s="30">
        <f t="shared" si="34"/>
        <v>24</v>
      </c>
      <c r="I117" s="56" t="s">
        <v>14</v>
      </c>
      <c r="J117" s="19">
        <f t="shared" si="24"/>
        <v>1</v>
      </c>
      <c r="K117" s="19">
        <v>45</v>
      </c>
      <c r="L117" s="21">
        <f t="shared" si="35"/>
        <v>45</v>
      </c>
      <c r="M117" s="57">
        <v>27</v>
      </c>
      <c r="N117" s="91">
        <f t="shared" si="32"/>
        <v>72</v>
      </c>
      <c r="O117" s="21">
        <f t="shared" si="31"/>
        <v>96</v>
      </c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8" customHeight="1">
      <c r="A118" s="84"/>
      <c r="B118" s="77">
        <f t="shared" si="27"/>
        <v>110</v>
      </c>
      <c r="C118" s="17" t="s">
        <v>139</v>
      </c>
      <c r="D118" s="24" t="s">
        <v>11</v>
      </c>
      <c r="E118" s="24" t="s">
        <v>14</v>
      </c>
      <c r="F118" s="19">
        <f t="shared" si="33"/>
        <v>0.9</v>
      </c>
      <c r="G118" s="19">
        <v>30</v>
      </c>
      <c r="H118" s="30">
        <f t="shared" si="34"/>
        <v>27</v>
      </c>
      <c r="I118" s="56" t="s">
        <v>11</v>
      </c>
      <c r="J118" s="19">
        <f t="shared" si="24"/>
        <v>0.8</v>
      </c>
      <c r="K118" s="19">
        <v>45</v>
      </c>
      <c r="L118" s="21">
        <f t="shared" si="35"/>
        <v>36</v>
      </c>
      <c r="M118" s="57">
        <v>28</v>
      </c>
      <c r="N118" s="91">
        <f t="shared" si="32"/>
        <v>64</v>
      </c>
      <c r="O118" s="21">
        <f t="shared" si="31"/>
        <v>91</v>
      </c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8" customHeight="1">
      <c r="A119" s="84"/>
      <c r="B119" s="77">
        <f t="shared" si="27"/>
        <v>111</v>
      </c>
      <c r="C119" s="17" t="s">
        <v>140</v>
      </c>
      <c r="D119" s="24" t="s">
        <v>11</v>
      </c>
      <c r="E119" s="24" t="s">
        <v>14</v>
      </c>
      <c r="F119" s="19">
        <f t="shared" si="33"/>
        <v>0.9</v>
      </c>
      <c r="G119" s="19">
        <v>30</v>
      </c>
      <c r="H119" s="30">
        <f t="shared" si="34"/>
        <v>27</v>
      </c>
      <c r="I119" s="56" t="s">
        <v>14</v>
      </c>
      <c r="J119" s="19">
        <f t="shared" si="24"/>
        <v>1</v>
      </c>
      <c r="K119" s="19">
        <v>45</v>
      </c>
      <c r="L119" s="21">
        <f t="shared" si="35"/>
        <v>45</v>
      </c>
      <c r="M119" s="57">
        <v>29</v>
      </c>
      <c r="N119" s="91">
        <f t="shared" si="32"/>
        <v>74</v>
      </c>
      <c r="O119" s="21">
        <f t="shared" si="31"/>
        <v>101</v>
      </c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8" customHeight="1">
      <c r="A120" s="84"/>
      <c r="B120" s="77">
        <f t="shared" si="27"/>
        <v>112</v>
      </c>
      <c r="C120" s="17" t="s">
        <v>141</v>
      </c>
      <c r="D120" s="24" t="s">
        <v>11</v>
      </c>
      <c r="E120" s="24" t="s">
        <v>8</v>
      </c>
      <c r="F120" s="19">
        <f t="shared" si="33"/>
        <v>0.7</v>
      </c>
      <c r="G120" s="19">
        <v>30</v>
      </c>
      <c r="H120" s="30">
        <f t="shared" si="34"/>
        <v>21</v>
      </c>
      <c r="I120" s="56" t="s">
        <v>11</v>
      </c>
      <c r="J120" s="19">
        <f t="shared" si="24"/>
        <v>0.8</v>
      </c>
      <c r="K120" s="19">
        <v>45</v>
      </c>
      <c r="L120" s="21">
        <f t="shared" si="35"/>
        <v>36</v>
      </c>
      <c r="M120" s="57">
        <v>0</v>
      </c>
      <c r="N120" s="91">
        <f t="shared" si="32"/>
        <v>36</v>
      </c>
      <c r="O120" s="21">
        <f t="shared" si="31"/>
        <v>57</v>
      </c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5.75" customHeight="1">
      <c r="B121" s="77">
        <f t="shared" si="27"/>
        <v>113</v>
      </c>
      <c r="C121" s="31" t="s">
        <v>142</v>
      </c>
      <c r="D121" s="24" t="s">
        <v>14</v>
      </c>
      <c r="E121" s="24" t="s">
        <v>11</v>
      </c>
      <c r="F121" s="25">
        <f t="shared" si="33"/>
        <v>0.9</v>
      </c>
      <c r="G121" s="19">
        <v>30</v>
      </c>
      <c r="H121" s="26">
        <f t="shared" si="34"/>
        <v>27</v>
      </c>
      <c r="I121" s="59" t="s">
        <v>14</v>
      </c>
      <c r="J121" s="25">
        <f t="shared" si="24"/>
        <v>1</v>
      </c>
      <c r="K121" s="90">
        <v>45</v>
      </c>
      <c r="L121" s="60">
        <f t="shared" si="35"/>
        <v>45</v>
      </c>
      <c r="M121" s="61">
        <v>27</v>
      </c>
      <c r="N121" s="96">
        <f t="shared" si="32"/>
        <v>72</v>
      </c>
      <c r="O121" s="21">
        <f t="shared" si="31"/>
        <v>99</v>
      </c>
    </row>
    <row r="122" spans="1:27" ht="18" customHeight="1">
      <c r="A122" s="84"/>
      <c r="B122" s="77">
        <f t="shared" si="27"/>
        <v>114</v>
      </c>
      <c r="C122" s="17" t="s">
        <v>143</v>
      </c>
      <c r="D122" s="24" t="s">
        <v>11</v>
      </c>
      <c r="E122" s="24" t="s">
        <v>8</v>
      </c>
      <c r="F122" s="19">
        <f t="shared" si="33"/>
        <v>0.7</v>
      </c>
      <c r="G122" s="19">
        <v>30</v>
      </c>
      <c r="H122" s="30">
        <f t="shared" si="34"/>
        <v>21</v>
      </c>
      <c r="I122" s="56" t="s">
        <v>14</v>
      </c>
      <c r="J122" s="19">
        <f t="shared" si="24"/>
        <v>1</v>
      </c>
      <c r="K122" s="19">
        <v>45</v>
      </c>
      <c r="L122" s="21">
        <f t="shared" si="35"/>
        <v>45</v>
      </c>
      <c r="M122" s="57">
        <v>12</v>
      </c>
      <c r="N122" s="91">
        <f t="shared" si="32"/>
        <v>57</v>
      </c>
      <c r="O122" s="21">
        <f t="shared" si="31"/>
        <v>78</v>
      </c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8" customHeight="1">
      <c r="A123" s="84"/>
      <c r="B123" s="77">
        <f t="shared" si="27"/>
        <v>115</v>
      </c>
      <c r="C123" s="17" t="s">
        <v>144</v>
      </c>
      <c r="D123" s="24" t="s">
        <v>11</v>
      </c>
      <c r="E123" s="24" t="s">
        <v>6</v>
      </c>
      <c r="F123" s="19">
        <f t="shared" ref="F123:F127" si="36">(0.5*(IF(E123="AB",0,(IF(E123="NA",0,(IF(E123="P",0.6,(IF(E123="M",0.8,(IF(E123="D",1,"False Entry")))))))))))+(0.5*(IF(D123="AB",0,(IF(D123="NA",0,(IF(D123="P",0.6,(IF(D123="M",0.8,(IF(D123="D",1,"False Entry")))))))))))</f>
        <v>0.4</v>
      </c>
      <c r="G123" s="19">
        <v>30</v>
      </c>
      <c r="H123" s="30">
        <f t="shared" ref="H123:H132" si="37">ROUNDUP(F123*G123,0)</f>
        <v>12</v>
      </c>
      <c r="I123" s="56" t="s">
        <v>14</v>
      </c>
      <c r="J123" s="19">
        <f t="shared" si="24"/>
        <v>1</v>
      </c>
      <c r="K123" s="19">
        <v>45</v>
      </c>
      <c r="L123" s="21">
        <f t="shared" ref="L123:L137" si="38">J123*K123</f>
        <v>45</v>
      </c>
      <c r="M123" s="57">
        <v>26</v>
      </c>
      <c r="N123" s="91">
        <f t="shared" si="32"/>
        <v>71</v>
      </c>
      <c r="O123" s="21">
        <f t="shared" si="31"/>
        <v>83</v>
      </c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8" customHeight="1">
      <c r="A124" s="84"/>
      <c r="B124" s="77">
        <f t="shared" si="27"/>
        <v>116</v>
      </c>
      <c r="C124" s="17" t="s">
        <v>145</v>
      </c>
      <c r="D124" s="24" t="s">
        <v>14</v>
      </c>
      <c r="E124" s="24" t="s">
        <v>11</v>
      </c>
      <c r="F124" s="19">
        <f t="shared" si="36"/>
        <v>0.9</v>
      </c>
      <c r="G124" s="19">
        <v>30</v>
      </c>
      <c r="H124" s="30">
        <f t="shared" si="37"/>
        <v>27</v>
      </c>
      <c r="I124" s="70" t="s">
        <v>14</v>
      </c>
      <c r="J124" s="19">
        <f t="shared" si="24"/>
        <v>1</v>
      </c>
      <c r="K124" s="19">
        <v>45</v>
      </c>
      <c r="L124" s="21">
        <f t="shared" si="38"/>
        <v>45</v>
      </c>
      <c r="M124" s="57">
        <v>28</v>
      </c>
      <c r="N124" s="91">
        <f t="shared" si="32"/>
        <v>73</v>
      </c>
      <c r="O124" s="21">
        <f t="shared" ref="O124:O155" si="39">H124+N124</f>
        <v>100</v>
      </c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8" customHeight="1">
      <c r="A125" s="84"/>
      <c r="B125" s="77">
        <f t="shared" si="27"/>
        <v>117</v>
      </c>
      <c r="C125" s="17" t="s">
        <v>146</v>
      </c>
      <c r="D125" s="24" t="s">
        <v>11</v>
      </c>
      <c r="E125" s="24" t="s">
        <v>11</v>
      </c>
      <c r="F125" s="19">
        <f t="shared" si="36"/>
        <v>0.8</v>
      </c>
      <c r="G125" s="19">
        <v>30</v>
      </c>
      <c r="H125" s="30">
        <f t="shared" si="37"/>
        <v>24</v>
      </c>
      <c r="I125" s="56" t="s">
        <v>14</v>
      </c>
      <c r="J125" s="19">
        <f t="shared" si="24"/>
        <v>1</v>
      </c>
      <c r="K125" s="19">
        <v>45</v>
      </c>
      <c r="L125" s="21">
        <f t="shared" si="38"/>
        <v>45</v>
      </c>
      <c r="M125" s="57">
        <v>29</v>
      </c>
      <c r="N125" s="91">
        <f t="shared" si="32"/>
        <v>74</v>
      </c>
      <c r="O125" s="21">
        <f t="shared" si="39"/>
        <v>98</v>
      </c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8" customHeight="1">
      <c r="A126" s="84"/>
      <c r="B126" s="77">
        <f t="shared" si="27"/>
        <v>118</v>
      </c>
      <c r="C126" s="17" t="s">
        <v>147</v>
      </c>
      <c r="D126" s="24" t="s">
        <v>11</v>
      </c>
      <c r="E126" s="24" t="s">
        <v>11</v>
      </c>
      <c r="F126" s="19">
        <f t="shared" si="36"/>
        <v>0.8</v>
      </c>
      <c r="G126" s="19">
        <v>30</v>
      </c>
      <c r="H126" s="30">
        <f t="shared" si="37"/>
        <v>24</v>
      </c>
      <c r="I126" s="56" t="s">
        <v>14</v>
      </c>
      <c r="J126" s="19">
        <f t="shared" si="24"/>
        <v>1</v>
      </c>
      <c r="K126" s="19">
        <v>45</v>
      </c>
      <c r="L126" s="21">
        <f t="shared" si="38"/>
        <v>45</v>
      </c>
      <c r="M126" s="57">
        <v>27</v>
      </c>
      <c r="N126" s="91">
        <f t="shared" si="32"/>
        <v>72</v>
      </c>
      <c r="O126" s="21">
        <f t="shared" si="39"/>
        <v>96</v>
      </c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5.75" customHeight="1">
      <c r="B127" s="77">
        <f t="shared" si="27"/>
        <v>119</v>
      </c>
      <c r="C127" s="31" t="s">
        <v>148</v>
      </c>
      <c r="D127" s="24" t="s">
        <v>11</v>
      </c>
      <c r="E127" s="24" t="s">
        <v>6</v>
      </c>
      <c r="F127" s="25">
        <f t="shared" si="36"/>
        <v>0.4</v>
      </c>
      <c r="G127" s="19">
        <v>30</v>
      </c>
      <c r="H127" s="26">
        <f t="shared" si="37"/>
        <v>12</v>
      </c>
      <c r="I127" s="59" t="s">
        <v>14</v>
      </c>
      <c r="J127" s="25">
        <f t="shared" si="24"/>
        <v>1</v>
      </c>
      <c r="K127" s="90">
        <v>45</v>
      </c>
      <c r="L127" s="60">
        <f t="shared" si="38"/>
        <v>45</v>
      </c>
      <c r="M127" s="61">
        <v>29</v>
      </c>
      <c r="N127" s="96">
        <f t="shared" si="32"/>
        <v>74</v>
      </c>
      <c r="O127" s="21">
        <f t="shared" si="39"/>
        <v>86</v>
      </c>
    </row>
    <row r="128" spans="1:27" ht="18" customHeight="1">
      <c r="A128" s="84"/>
      <c r="B128" s="77">
        <f t="shared" si="27"/>
        <v>120</v>
      </c>
      <c r="C128" s="17" t="s">
        <v>149</v>
      </c>
      <c r="D128" s="24" t="s">
        <v>14</v>
      </c>
      <c r="E128" s="24" t="s">
        <v>11</v>
      </c>
      <c r="F128" s="19">
        <f t="shared" ref="F128:F189" si="40">(0.5*(IF(E128="AB",0,(IF(E128="NA",0,(IF(E128="P",0.6,(IF(E128="M",0.8,(IF(E128="D",1,"False Entry")))))))))))+(0.5*(IF(D128="AB",0,(IF(D128="NA",0,(IF(D128="P",0.6,(IF(D128="M",0.8,(IF(D128="D",1,"False Entry")))))))))))</f>
        <v>0.9</v>
      </c>
      <c r="G128" s="19">
        <v>30</v>
      </c>
      <c r="H128" s="30">
        <f t="shared" si="37"/>
        <v>27</v>
      </c>
      <c r="I128" s="56" t="s">
        <v>14</v>
      </c>
      <c r="J128" s="19">
        <f t="shared" ref="J128:J189" si="41">(IF(I128="AB",0,IF(I128="NA",0,IF(I128="P",0.6,IF(I128="M",0.8,IF(I128="D",1,"False Entry"))))))</f>
        <v>1</v>
      </c>
      <c r="K128" s="19">
        <v>45</v>
      </c>
      <c r="L128" s="21">
        <f t="shared" si="38"/>
        <v>45</v>
      </c>
      <c r="M128" s="57">
        <v>18</v>
      </c>
      <c r="N128" s="91">
        <f t="shared" ref="N128:N189" si="42">ROUNDUP(M128+L128,0)</f>
        <v>63</v>
      </c>
      <c r="O128" s="21">
        <f t="shared" si="39"/>
        <v>90</v>
      </c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8" customHeight="1">
      <c r="A129" s="84"/>
      <c r="B129" s="77">
        <f t="shared" si="27"/>
        <v>121</v>
      </c>
      <c r="C129" s="17" t="s">
        <v>150</v>
      </c>
      <c r="D129" s="24" t="s">
        <v>11</v>
      </c>
      <c r="E129" s="24" t="s">
        <v>11</v>
      </c>
      <c r="F129" s="19">
        <f t="shared" si="40"/>
        <v>0.8</v>
      </c>
      <c r="G129" s="19">
        <v>30</v>
      </c>
      <c r="H129" s="30">
        <f t="shared" si="37"/>
        <v>24</v>
      </c>
      <c r="I129" s="56" t="s">
        <v>14</v>
      </c>
      <c r="J129" s="19">
        <f t="shared" si="41"/>
        <v>1</v>
      </c>
      <c r="K129" s="19">
        <v>45</v>
      </c>
      <c r="L129" s="21">
        <f t="shared" si="38"/>
        <v>45</v>
      </c>
      <c r="M129" s="57">
        <v>8</v>
      </c>
      <c r="N129" s="91">
        <f t="shared" si="42"/>
        <v>53</v>
      </c>
      <c r="O129" s="21">
        <f t="shared" si="39"/>
        <v>77</v>
      </c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8" customHeight="1">
      <c r="A130" s="84"/>
      <c r="B130" s="77">
        <f t="shared" si="27"/>
        <v>122</v>
      </c>
      <c r="C130" s="17" t="s">
        <v>151</v>
      </c>
      <c r="D130" s="24" t="s">
        <v>11</v>
      </c>
      <c r="E130" s="24" t="s">
        <v>11</v>
      </c>
      <c r="F130" s="19">
        <f t="shared" si="40"/>
        <v>0.8</v>
      </c>
      <c r="G130" s="19">
        <v>30</v>
      </c>
      <c r="H130" s="30">
        <f t="shared" si="37"/>
        <v>24</v>
      </c>
      <c r="I130" s="56" t="s">
        <v>14</v>
      </c>
      <c r="J130" s="19">
        <f t="shared" si="41"/>
        <v>1</v>
      </c>
      <c r="K130" s="19">
        <v>45</v>
      </c>
      <c r="L130" s="21">
        <f t="shared" si="38"/>
        <v>45</v>
      </c>
      <c r="M130" s="57">
        <v>27</v>
      </c>
      <c r="N130" s="91">
        <f t="shared" si="42"/>
        <v>72</v>
      </c>
      <c r="O130" s="21">
        <f t="shared" si="39"/>
        <v>96</v>
      </c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8" customHeight="1">
      <c r="A131" s="84"/>
      <c r="B131" s="77">
        <f t="shared" si="27"/>
        <v>123</v>
      </c>
      <c r="C131" s="17" t="s">
        <v>152</v>
      </c>
      <c r="D131" s="24" t="s">
        <v>11</v>
      </c>
      <c r="E131" s="24" t="s">
        <v>6</v>
      </c>
      <c r="F131" s="19">
        <f t="shared" si="40"/>
        <v>0.4</v>
      </c>
      <c r="G131" s="19">
        <v>30</v>
      </c>
      <c r="H131" s="30">
        <f t="shared" si="37"/>
        <v>12</v>
      </c>
      <c r="I131" s="56" t="s">
        <v>11</v>
      </c>
      <c r="J131" s="19">
        <f t="shared" si="41"/>
        <v>0.8</v>
      </c>
      <c r="K131" s="21">
        <v>45</v>
      </c>
      <c r="L131" s="21">
        <f t="shared" si="38"/>
        <v>36</v>
      </c>
      <c r="M131" s="57">
        <v>25</v>
      </c>
      <c r="N131" s="91">
        <f t="shared" si="42"/>
        <v>61</v>
      </c>
      <c r="O131" s="21">
        <f t="shared" si="39"/>
        <v>73</v>
      </c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8" customHeight="1">
      <c r="A132" s="84"/>
      <c r="B132" s="77">
        <f t="shared" si="27"/>
        <v>124</v>
      </c>
      <c r="C132" s="17" t="s">
        <v>153</v>
      </c>
      <c r="D132" s="24" t="s">
        <v>11</v>
      </c>
      <c r="E132" s="24" t="s">
        <v>14</v>
      </c>
      <c r="F132" s="19">
        <f t="shared" si="40"/>
        <v>0.9</v>
      </c>
      <c r="G132" s="19">
        <v>30</v>
      </c>
      <c r="H132" s="30">
        <f t="shared" si="37"/>
        <v>27</v>
      </c>
      <c r="I132" s="56" t="s">
        <v>14</v>
      </c>
      <c r="J132" s="19">
        <f t="shared" si="41"/>
        <v>1</v>
      </c>
      <c r="K132" s="19">
        <v>45</v>
      </c>
      <c r="L132" s="21">
        <f t="shared" si="38"/>
        <v>45</v>
      </c>
      <c r="M132" s="57">
        <v>29</v>
      </c>
      <c r="N132" s="91">
        <f t="shared" si="42"/>
        <v>74</v>
      </c>
      <c r="O132" s="21">
        <f t="shared" si="39"/>
        <v>101</v>
      </c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8" customHeight="1">
      <c r="A133" s="84"/>
      <c r="B133" s="77">
        <f t="shared" si="27"/>
        <v>125</v>
      </c>
      <c r="C133" s="17" t="s">
        <v>154</v>
      </c>
      <c r="D133" s="24" t="s">
        <v>14</v>
      </c>
      <c r="E133" s="24" t="s">
        <v>14</v>
      </c>
      <c r="F133" s="19">
        <f t="shared" si="40"/>
        <v>1</v>
      </c>
      <c r="G133" s="19">
        <v>30</v>
      </c>
      <c r="H133" s="30">
        <f t="shared" ref="H133:H194" si="43">ROUNDUP(F133*G133,0)</f>
        <v>30</v>
      </c>
      <c r="I133" s="56" t="s">
        <v>11</v>
      </c>
      <c r="J133" s="19">
        <f t="shared" si="41"/>
        <v>0.8</v>
      </c>
      <c r="K133" s="19">
        <v>45</v>
      </c>
      <c r="L133" s="21">
        <f t="shared" si="38"/>
        <v>36</v>
      </c>
      <c r="M133" s="57">
        <v>28</v>
      </c>
      <c r="N133" s="91">
        <f t="shared" si="42"/>
        <v>64</v>
      </c>
      <c r="O133" s="21">
        <f t="shared" si="39"/>
        <v>94</v>
      </c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8" customHeight="1">
      <c r="A134" s="84"/>
      <c r="B134" s="77">
        <f t="shared" si="27"/>
        <v>126</v>
      </c>
      <c r="C134" s="17" t="s">
        <v>155</v>
      </c>
      <c r="D134" s="24" t="s">
        <v>14</v>
      </c>
      <c r="E134" s="24" t="s">
        <v>14</v>
      </c>
      <c r="F134" s="19">
        <f t="shared" si="40"/>
        <v>1</v>
      </c>
      <c r="G134" s="19">
        <v>30</v>
      </c>
      <c r="H134" s="30">
        <f t="shared" si="43"/>
        <v>30</v>
      </c>
      <c r="I134" s="56" t="s">
        <v>14</v>
      </c>
      <c r="J134" s="19">
        <f t="shared" si="41"/>
        <v>1</v>
      </c>
      <c r="K134" s="19">
        <v>45</v>
      </c>
      <c r="L134" s="21">
        <f t="shared" si="38"/>
        <v>45</v>
      </c>
      <c r="M134" s="57">
        <v>25</v>
      </c>
      <c r="N134" s="91">
        <f t="shared" si="42"/>
        <v>70</v>
      </c>
      <c r="O134" s="21">
        <f t="shared" si="39"/>
        <v>100</v>
      </c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8" customHeight="1">
      <c r="A135" s="84"/>
      <c r="B135" s="77">
        <f t="shared" si="27"/>
        <v>127</v>
      </c>
      <c r="C135" s="17" t="s">
        <v>156</v>
      </c>
      <c r="D135" s="24" t="s">
        <v>11</v>
      </c>
      <c r="E135" s="24" t="s">
        <v>14</v>
      </c>
      <c r="F135" s="19">
        <f t="shared" si="40"/>
        <v>0.9</v>
      </c>
      <c r="G135" s="19">
        <v>30</v>
      </c>
      <c r="H135" s="30">
        <f t="shared" si="43"/>
        <v>27</v>
      </c>
      <c r="I135" s="56" t="s">
        <v>14</v>
      </c>
      <c r="J135" s="19">
        <f t="shared" si="41"/>
        <v>1</v>
      </c>
      <c r="K135" s="21">
        <v>45</v>
      </c>
      <c r="L135" s="21">
        <f t="shared" si="38"/>
        <v>45</v>
      </c>
      <c r="M135" s="57">
        <v>27</v>
      </c>
      <c r="N135" s="91">
        <f t="shared" si="42"/>
        <v>72</v>
      </c>
      <c r="O135" s="21">
        <f t="shared" si="39"/>
        <v>99</v>
      </c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5.75" customHeight="1">
      <c r="B136" s="77">
        <f t="shared" si="27"/>
        <v>128</v>
      </c>
      <c r="C136" s="31" t="s">
        <v>157</v>
      </c>
      <c r="D136" s="24" t="s">
        <v>14</v>
      </c>
      <c r="E136" s="24" t="s">
        <v>14</v>
      </c>
      <c r="F136" s="25">
        <f t="shared" ref="F136" si="44">(0.5*(IF(E136="AB",0,(IF(E136="NA",0,(IF(E136="P",0.6,(IF(E136="M",0.8,(IF(E136="D",1,"False Entry")))))))))))+(0.5*(IF(D136="AB",0,(IF(D136="NA",0,(IF(D136="P",0.6,(IF(D136="M",0.8,(IF(D136="D",1,"False Entry")))))))))))</f>
        <v>1</v>
      </c>
      <c r="G136" s="19">
        <v>30</v>
      </c>
      <c r="H136" s="26">
        <f t="shared" si="43"/>
        <v>30</v>
      </c>
      <c r="I136" s="59" t="s">
        <v>14</v>
      </c>
      <c r="J136" s="25">
        <f t="shared" si="41"/>
        <v>1</v>
      </c>
      <c r="K136" s="19">
        <v>45</v>
      </c>
      <c r="L136" s="60">
        <f t="shared" ref="L136" si="45">J136*K136</f>
        <v>45</v>
      </c>
      <c r="M136" s="61">
        <v>29</v>
      </c>
      <c r="N136" s="96">
        <f t="shared" si="42"/>
        <v>74</v>
      </c>
      <c r="O136" s="21">
        <f t="shared" si="39"/>
        <v>104</v>
      </c>
    </row>
    <row r="137" spans="1:27" ht="18" customHeight="1">
      <c r="A137" s="84"/>
      <c r="B137" s="77">
        <f t="shared" si="27"/>
        <v>129</v>
      </c>
      <c r="C137" s="17" t="s">
        <v>158</v>
      </c>
      <c r="D137" s="24" t="s">
        <v>11</v>
      </c>
      <c r="E137" s="24" t="s">
        <v>6</v>
      </c>
      <c r="F137" s="19">
        <f t="shared" si="40"/>
        <v>0.4</v>
      </c>
      <c r="G137" s="19">
        <v>30</v>
      </c>
      <c r="H137" s="30">
        <f t="shared" si="43"/>
        <v>12</v>
      </c>
      <c r="I137" s="56" t="s">
        <v>14</v>
      </c>
      <c r="J137" s="19">
        <f t="shared" si="41"/>
        <v>1</v>
      </c>
      <c r="K137" s="19">
        <v>45</v>
      </c>
      <c r="L137" s="21">
        <f t="shared" si="38"/>
        <v>45</v>
      </c>
      <c r="M137" s="57">
        <v>19</v>
      </c>
      <c r="N137" s="91">
        <f t="shared" si="42"/>
        <v>64</v>
      </c>
      <c r="O137" s="21">
        <f t="shared" si="39"/>
        <v>76</v>
      </c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8" customHeight="1">
      <c r="A138" s="84"/>
      <c r="B138" s="77">
        <f t="shared" si="27"/>
        <v>130</v>
      </c>
      <c r="C138" s="17" t="s">
        <v>159</v>
      </c>
      <c r="D138" s="24" t="s">
        <v>11</v>
      </c>
      <c r="E138" s="24" t="s">
        <v>8</v>
      </c>
      <c r="F138" s="19">
        <f t="shared" si="40"/>
        <v>0.7</v>
      </c>
      <c r="G138" s="19">
        <v>30</v>
      </c>
      <c r="H138" s="30">
        <f t="shared" si="43"/>
        <v>21</v>
      </c>
      <c r="I138" s="56" t="s">
        <v>11</v>
      </c>
      <c r="J138" s="19">
        <f t="shared" si="41"/>
        <v>0.8</v>
      </c>
      <c r="K138" s="19">
        <v>45</v>
      </c>
      <c r="L138" s="21">
        <f t="shared" ref="L138:L174" si="46">J138*K138</f>
        <v>36</v>
      </c>
      <c r="M138" s="57">
        <v>7</v>
      </c>
      <c r="N138" s="91">
        <f t="shared" si="42"/>
        <v>43</v>
      </c>
      <c r="O138" s="21">
        <f t="shared" si="39"/>
        <v>64</v>
      </c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8" customHeight="1">
      <c r="A139" s="84"/>
      <c r="B139" s="77">
        <f t="shared" si="27"/>
        <v>131</v>
      </c>
      <c r="C139" s="17" t="s">
        <v>160</v>
      </c>
      <c r="D139" s="24" t="s">
        <v>11</v>
      </c>
      <c r="E139" s="24" t="s">
        <v>14</v>
      </c>
      <c r="F139" s="19">
        <f t="shared" si="40"/>
        <v>0.9</v>
      </c>
      <c r="G139" s="19">
        <v>30</v>
      </c>
      <c r="H139" s="30">
        <f t="shared" si="43"/>
        <v>27</v>
      </c>
      <c r="I139" s="56" t="s">
        <v>14</v>
      </c>
      <c r="J139" s="19">
        <f t="shared" si="41"/>
        <v>1</v>
      </c>
      <c r="K139" s="19">
        <v>45</v>
      </c>
      <c r="L139" s="21">
        <f t="shared" si="46"/>
        <v>45</v>
      </c>
      <c r="M139" s="57">
        <v>27</v>
      </c>
      <c r="N139" s="91">
        <f t="shared" si="42"/>
        <v>72</v>
      </c>
      <c r="O139" s="21">
        <f t="shared" si="39"/>
        <v>99</v>
      </c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8" customHeight="1">
      <c r="A140" s="84"/>
      <c r="B140" s="77">
        <f t="shared" si="27"/>
        <v>132</v>
      </c>
      <c r="C140" s="17" t="s">
        <v>161</v>
      </c>
      <c r="D140" s="24" t="s">
        <v>4</v>
      </c>
      <c r="E140" s="24" t="s">
        <v>4</v>
      </c>
      <c r="F140" s="19">
        <f t="shared" si="40"/>
        <v>0</v>
      </c>
      <c r="G140" s="19">
        <v>30</v>
      </c>
      <c r="H140" s="30">
        <f t="shared" si="43"/>
        <v>0</v>
      </c>
      <c r="I140" s="56" t="s">
        <v>4</v>
      </c>
      <c r="J140" s="19">
        <f t="shared" si="41"/>
        <v>0</v>
      </c>
      <c r="K140" s="19">
        <v>45</v>
      </c>
      <c r="L140" s="21">
        <f t="shared" si="46"/>
        <v>0</v>
      </c>
      <c r="M140" s="57">
        <v>15</v>
      </c>
      <c r="N140" s="91">
        <f t="shared" si="42"/>
        <v>15</v>
      </c>
      <c r="O140" s="21">
        <f t="shared" si="39"/>
        <v>15</v>
      </c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8" customHeight="1">
      <c r="A141" s="84"/>
      <c r="B141" s="77">
        <f t="shared" si="27"/>
        <v>133</v>
      </c>
      <c r="C141" s="17" t="s">
        <v>162</v>
      </c>
      <c r="D141" s="24" t="s">
        <v>11</v>
      </c>
      <c r="E141" s="24" t="s">
        <v>8</v>
      </c>
      <c r="F141" s="19">
        <f t="shared" si="40"/>
        <v>0.7</v>
      </c>
      <c r="G141" s="19">
        <v>30</v>
      </c>
      <c r="H141" s="30">
        <f t="shared" si="43"/>
        <v>21</v>
      </c>
      <c r="I141" s="56" t="s">
        <v>14</v>
      </c>
      <c r="J141" s="19">
        <f t="shared" si="41"/>
        <v>1</v>
      </c>
      <c r="K141" s="19">
        <v>45</v>
      </c>
      <c r="L141" s="21">
        <f t="shared" si="46"/>
        <v>45</v>
      </c>
      <c r="M141" s="57">
        <v>19</v>
      </c>
      <c r="N141" s="91">
        <f t="shared" si="42"/>
        <v>64</v>
      </c>
      <c r="O141" s="21">
        <f t="shared" si="39"/>
        <v>85</v>
      </c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8" customHeight="1">
      <c r="A142" s="84"/>
      <c r="B142" s="77">
        <f t="shared" si="27"/>
        <v>134</v>
      </c>
      <c r="C142" s="17" t="s">
        <v>163</v>
      </c>
      <c r="D142" s="24" t="s">
        <v>11</v>
      </c>
      <c r="E142" s="24" t="s">
        <v>8</v>
      </c>
      <c r="F142" s="19">
        <f t="shared" si="40"/>
        <v>0.7</v>
      </c>
      <c r="G142" s="19">
        <v>30</v>
      </c>
      <c r="H142" s="30">
        <f t="shared" si="43"/>
        <v>21</v>
      </c>
      <c r="I142" s="56" t="s">
        <v>14</v>
      </c>
      <c r="J142" s="19">
        <f t="shared" si="41"/>
        <v>1</v>
      </c>
      <c r="K142" s="19">
        <v>45</v>
      </c>
      <c r="L142" s="21">
        <f t="shared" si="46"/>
        <v>45</v>
      </c>
      <c r="M142" s="57">
        <v>27</v>
      </c>
      <c r="N142" s="91">
        <f t="shared" si="42"/>
        <v>72</v>
      </c>
      <c r="O142" s="21">
        <f t="shared" si="39"/>
        <v>93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8" customHeight="1">
      <c r="A143" s="84"/>
      <c r="B143" s="77">
        <f t="shared" si="27"/>
        <v>135</v>
      </c>
      <c r="C143" s="17" t="s">
        <v>164</v>
      </c>
      <c r="D143" s="24" t="s">
        <v>11</v>
      </c>
      <c r="E143" s="24" t="s">
        <v>11</v>
      </c>
      <c r="F143" s="19">
        <f t="shared" si="40"/>
        <v>0.8</v>
      </c>
      <c r="G143" s="19">
        <v>30</v>
      </c>
      <c r="H143" s="30">
        <f t="shared" si="43"/>
        <v>24</v>
      </c>
      <c r="I143" s="56" t="s">
        <v>14</v>
      </c>
      <c r="J143" s="19">
        <f t="shared" si="41"/>
        <v>1</v>
      </c>
      <c r="K143" s="19">
        <v>45</v>
      </c>
      <c r="L143" s="21">
        <f t="shared" si="46"/>
        <v>45</v>
      </c>
      <c r="M143" s="57">
        <v>28</v>
      </c>
      <c r="N143" s="91">
        <f t="shared" si="42"/>
        <v>73</v>
      </c>
      <c r="O143" s="21">
        <f t="shared" si="39"/>
        <v>97</v>
      </c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8" customHeight="1">
      <c r="A144" s="84"/>
      <c r="B144" s="77">
        <f t="shared" si="27"/>
        <v>136</v>
      </c>
      <c r="C144" s="17" t="s">
        <v>165</v>
      </c>
      <c r="D144" s="24" t="s">
        <v>11</v>
      </c>
      <c r="E144" s="24" t="s">
        <v>11</v>
      </c>
      <c r="F144" s="19">
        <f t="shared" si="40"/>
        <v>0.8</v>
      </c>
      <c r="G144" s="19">
        <v>30</v>
      </c>
      <c r="H144" s="30">
        <f t="shared" si="43"/>
        <v>24</v>
      </c>
      <c r="I144" s="56" t="s">
        <v>14</v>
      </c>
      <c r="J144" s="19">
        <f t="shared" si="41"/>
        <v>1</v>
      </c>
      <c r="K144" s="19">
        <v>45</v>
      </c>
      <c r="L144" s="21">
        <f t="shared" si="46"/>
        <v>45</v>
      </c>
      <c r="M144" s="57">
        <v>27</v>
      </c>
      <c r="N144" s="91">
        <f t="shared" si="42"/>
        <v>72</v>
      </c>
      <c r="O144" s="21">
        <f t="shared" si="39"/>
        <v>96</v>
      </c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8" customHeight="1">
      <c r="A145" s="84"/>
      <c r="B145" s="77">
        <f t="shared" si="27"/>
        <v>137</v>
      </c>
      <c r="C145" s="17" t="s">
        <v>166</v>
      </c>
      <c r="D145" s="24" t="s">
        <v>14</v>
      </c>
      <c r="E145" s="24" t="s">
        <v>11</v>
      </c>
      <c r="F145" s="19">
        <f t="shared" si="40"/>
        <v>0.9</v>
      </c>
      <c r="G145" s="19">
        <v>30</v>
      </c>
      <c r="H145" s="30">
        <f t="shared" si="43"/>
        <v>27</v>
      </c>
      <c r="I145" s="56" t="s">
        <v>14</v>
      </c>
      <c r="J145" s="19">
        <f t="shared" si="41"/>
        <v>1</v>
      </c>
      <c r="K145" s="19">
        <v>45</v>
      </c>
      <c r="L145" s="21">
        <f t="shared" si="46"/>
        <v>45</v>
      </c>
      <c r="M145" s="57">
        <v>29</v>
      </c>
      <c r="N145" s="91">
        <f t="shared" si="42"/>
        <v>74</v>
      </c>
      <c r="O145" s="21">
        <f t="shared" si="39"/>
        <v>101</v>
      </c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8" customHeight="1">
      <c r="A146" s="84"/>
      <c r="B146" s="77">
        <f t="shared" si="27"/>
        <v>138</v>
      </c>
      <c r="C146" s="17" t="s">
        <v>167</v>
      </c>
      <c r="D146" s="24" t="s">
        <v>11</v>
      </c>
      <c r="E146" s="24" t="s">
        <v>14</v>
      </c>
      <c r="F146" s="19">
        <f t="shared" si="40"/>
        <v>0.9</v>
      </c>
      <c r="G146" s="19">
        <v>30</v>
      </c>
      <c r="H146" s="30">
        <f t="shared" si="43"/>
        <v>27</v>
      </c>
      <c r="I146" s="56" t="s">
        <v>14</v>
      </c>
      <c r="J146" s="19">
        <f t="shared" si="41"/>
        <v>1</v>
      </c>
      <c r="K146" s="19">
        <v>45</v>
      </c>
      <c r="L146" s="21">
        <f t="shared" si="46"/>
        <v>45</v>
      </c>
      <c r="M146" s="57">
        <v>30</v>
      </c>
      <c r="N146" s="91">
        <f t="shared" si="42"/>
        <v>75</v>
      </c>
      <c r="O146" s="21">
        <f t="shared" si="39"/>
        <v>102</v>
      </c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8" customHeight="1">
      <c r="A147" s="84"/>
      <c r="B147" s="77">
        <f t="shared" si="27"/>
        <v>139</v>
      </c>
      <c r="C147" s="17" t="s">
        <v>168</v>
      </c>
      <c r="D147" s="24" t="s">
        <v>11</v>
      </c>
      <c r="E147" s="24" t="s">
        <v>8</v>
      </c>
      <c r="F147" s="19">
        <f t="shared" si="40"/>
        <v>0.7</v>
      </c>
      <c r="G147" s="19">
        <v>30</v>
      </c>
      <c r="H147" s="30">
        <f t="shared" si="43"/>
        <v>21</v>
      </c>
      <c r="I147" s="56" t="s">
        <v>14</v>
      </c>
      <c r="J147" s="19">
        <f t="shared" si="41"/>
        <v>1</v>
      </c>
      <c r="K147" s="19">
        <v>45</v>
      </c>
      <c r="L147" s="21">
        <f t="shared" si="46"/>
        <v>45</v>
      </c>
      <c r="M147" s="57">
        <v>0</v>
      </c>
      <c r="N147" s="91">
        <f t="shared" si="42"/>
        <v>45</v>
      </c>
      <c r="O147" s="21">
        <f t="shared" si="39"/>
        <v>66</v>
      </c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8" customHeight="1">
      <c r="A148" s="84"/>
      <c r="B148" s="77">
        <f t="shared" si="27"/>
        <v>140</v>
      </c>
      <c r="C148" s="17" t="s">
        <v>169</v>
      </c>
      <c r="D148" s="24" t="s">
        <v>14</v>
      </c>
      <c r="E148" s="24" t="s">
        <v>14</v>
      </c>
      <c r="F148" s="19">
        <f t="shared" si="40"/>
        <v>1</v>
      </c>
      <c r="G148" s="19">
        <v>30</v>
      </c>
      <c r="H148" s="30">
        <f t="shared" si="43"/>
        <v>30</v>
      </c>
      <c r="I148" s="56" t="s">
        <v>14</v>
      </c>
      <c r="J148" s="19">
        <f t="shared" si="41"/>
        <v>1</v>
      </c>
      <c r="K148" s="19">
        <v>45</v>
      </c>
      <c r="L148" s="21">
        <f t="shared" si="46"/>
        <v>45</v>
      </c>
      <c r="M148" s="57">
        <v>30</v>
      </c>
      <c r="N148" s="91">
        <f t="shared" si="42"/>
        <v>75</v>
      </c>
      <c r="O148" s="21">
        <f t="shared" si="39"/>
        <v>105</v>
      </c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8" customHeight="1">
      <c r="A149" s="84"/>
      <c r="B149" s="77">
        <f t="shared" si="27"/>
        <v>141</v>
      </c>
      <c r="C149" s="17" t="s">
        <v>170</v>
      </c>
      <c r="D149" s="24" t="s">
        <v>11</v>
      </c>
      <c r="E149" s="24" t="s">
        <v>11</v>
      </c>
      <c r="F149" s="19">
        <f t="shared" si="40"/>
        <v>0.8</v>
      </c>
      <c r="G149" s="19">
        <v>30</v>
      </c>
      <c r="H149" s="30">
        <f t="shared" si="43"/>
        <v>24</v>
      </c>
      <c r="I149" s="56" t="s">
        <v>14</v>
      </c>
      <c r="J149" s="19">
        <f t="shared" si="41"/>
        <v>1</v>
      </c>
      <c r="K149" s="19">
        <v>45</v>
      </c>
      <c r="L149" s="21">
        <f t="shared" si="46"/>
        <v>45</v>
      </c>
      <c r="M149" s="57">
        <v>27</v>
      </c>
      <c r="N149" s="91">
        <f t="shared" si="42"/>
        <v>72</v>
      </c>
      <c r="O149" s="21">
        <f t="shared" si="39"/>
        <v>96</v>
      </c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5.75" customHeight="1">
      <c r="B150" s="77">
        <f t="shared" si="27"/>
        <v>142</v>
      </c>
      <c r="C150" s="31" t="s">
        <v>171</v>
      </c>
      <c r="D150" s="24" t="s">
        <v>11</v>
      </c>
      <c r="E150" s="24" t="s">
        <v>11</v>
      </c>
      <c r="F150" s="25">
        <f t="shared" si="40"/>
        <v>0.8</v>
      </c>
      <c r="G150" s="19">
        <v>30</v>
      </c>
      <c r="H150" s="26">
        <f t="shared" si="43"/>
        <v>24</v>
      </c>
      <c r="I150" s="59" t="s">
        <v>14</v>
      </c>
      <c r="J150" s="25">
        <f t="shared" si="41"/>
        <v>1</v>
      </c>
      <c r="K150" s="19">
        <v>45</v>
      </c>
      <c r="L150" s="60">
        <f t="shared" si="46"/>
        <v>45</v>
      </c>
      <c r="M150" s="61">
        <v>18</v>
      </c>
      <c r="N150" s="96">
        <f t="shared" si="42"/>
        <v>63</v>
      </c>
      <c r="O150" s="21">
        <f t="shared" si="39"/>
        <v>87</v>
      </c>
    </row>
    <row r="151" spans="1:27" ht="18" customHeight="1">
      <c r="A151" s="84"/>
      <c r="B151" s="77">
        <f t="shared" si="27"/>
        <v>143</v>
      </c>
      <c r="C151" s="17" t="s">
        <v>172</v>
      </c>
      <c r="D151" s="24" t="s">
        <v>11</v>
      </c>
      <c r="E151" s="24" t="s">
        <v>8</v>
      </c>
      <c r="F151" s="19">
        <f t="shared" si="40"/>
        <v>0.7</v>
      </c>
      <c r="G151" s="19">
        <v>30</v>
      </c>
      <c r="H151" s="30">
        <f t="shared" si="43"/>
        <v>21</v>
      </c>
      <c r="I151" s="56" t="s">
        <v>14</v>
      </c>
      <c r="J151" s="19">
        <f t="shared" si="41"/>
        <v>1</v>
      </c>
      <c r="K151" s="19">
        <v>45</v>
      </c>
      <c r="L151" s="21">
        <f t="shared" si="46"/>
        <v>45</v>
      </c>
      <c r="M151" s="57">
        <v>26</v>
      </c>
      <c r="N151" s="91">
        <f t="shared" si="42"/>
        <v>71</v>
      </c>
      <c r="O151" s="21">
        <f t="shared" si="39"/>
        <v>92</v>
      </c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s="1" customFormat="1" ht="18" customHeight="1">
      <c r="A152" s="97"/>
      <c r="B152" s="16">
        <f t="shared" si="27"/>
        <v>144</v>
      </c>
      <c r="C152" s="76" t="s">
        <v>173</v>
      </c>
      <c r="D152" s="24" t="s">
        <v>11</v>
      </c>
      <c r="E152" s="24" t="s">
        <v>8</v>
      </c>
      <c r="F152" s="29">
        <f t="shared" si="40"/>
        <v>0.7</v>
      </c>
      <c r="G152" s="29">
        <v>30</v>
      </c>
      <c r="H152" s="30">
        <f t="shared" si="43"/>
        <v>21</v>
      </c>
      <c r="I152" s="18" t="s">
        <v>4</v>
      </c>
      <c r="J152" s="29">
        <f t="shared" si="41"/>
        <v>0</v>
      </c>
      <c r="K152" s="29">
        <v>45</v>
      </c>
      <c r="L152" s="69">
        <f t="shared" si="46"/>
        <v>0</v>
      </c>
      <c r="M152" s="69">
        <v>15</v>
      </c>
      <c r="N152" s="91">
        <f t="shared" si="42"/>
        <v>15</v>
      </c>
      <c r="O152" s="69">
        <f t="shared" si="39"/>
        <v>36</v>
      </c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</row>
    <row r="153" spans="1:27" ht="18" customHeight="1">
      <c r="A153" s="84"/>
      <c r="B153" s="16">
        <f t="shared" si="27"/>
        <v>145</v>
      </c>
      <c r="C153" s="17" t="s">
        <v>174</v>
      </c>
      <c r="D153" s="24" t="s">
        <v>11</v>
      </c>
      <c r="E153" s="24" t="s">
        <v>14</v>
      </c>
      <c r="F153" s="19">
        <f t="shared" si="40"/>
        <v>0.9</v>
      </c>
      <c r="G153" s="19">
        <v>30</v>
      </c>
      <c r="H153" s="30">
        <f t="shared" si="43"/>
        <v>27</v>
      </c>
      <c r="I153" s="56" t="s">
        <v>14</v>
      </c>
      <c r="J153" s="19">
        <f t="shared" si="41"/>
        <v>1</v>
      </c>
      <c r="K153" s="19">
        <v>45</v>
      </c>
      <c r="L153" s="21">
        <f t="shared" si="46"/>
        <v>45</v>
      </c>
      <c r="M153" s="57">
        <v>18</v>
      </c>
      <c r="N153" s="91">
        <f t="shared" si="42"/>
        <v>63</v>
      </c>
      <c r="O153" s="21">
        <f t="shared" si="39"/>
        <v>90</v>
      </c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8" customHeight="1">
      <c r="A154" s="84"/>
      <c r="B154" s="16">
        <f t="shared" si="27"/>
        <v>146</v>
      </c>
      <c r="C154" s="17" t="s">
        <v>175</v>
      </c>
      <c r="D154" s="24" t="s">
        <v>11</v>
      </c>
      <c r="E154" s="24" t="s">
        <v>11</v>
      </c>
      <c r="F154" s="19">
        <f t="shared" si="40"/>
        <v>0.8</v>
      </c>
      <c r="G154" s="19">
        <v>30</v>
      </c>
      <c r="H154" s="30">
        <f t="shared" si="43"/>
        <v>24</v>
      </c>
      <c r="I154" s="56" t="s">
        <v>14</v>
      </c>
      <c r="J154" s="19">
        <f t="shared" si="41"/>
        <v>1</v>
      </c>
      <c r="K154" s="19">
        <v>45</v>
      </c>
      <c r="L154" s="21">
        <f t="shared" si="46"/>
        <v>45</v>
      </c>
      <c r="M154" s="57">
        <v>20</v>
      </c>
      <c r="N154" s="91">
        <f t="shared" si="42"/>
        <v>65</v>
      </c>
      <c r="O154" s="21">
        <f t="shared" si="39"/>
        <v>89</v>
      </c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8" customHeight="1">
      <c r="A155" s="84"/>
      <c r="B155" s="16">
        <f t="shared" si="27"/>
        <v>147</v>
      </c>
      <c r="C155" s="17" t="s">
        <v>176</v>
      </c>
      <c r="D155" s="24" t="s">
        <v>4</v>
      </c>
      <c r="E155" s="24" t="s">
        <v>4</v>
      </c>
      <c r="F155" s="19">
        <f t="shared" si="40"/>
        <v>0</v>
      </c>
      <c r="G155" s="19">
        <v>30</v>
      </c>
      <c r="H155" s="30">
        <f t="shared" si="43"/>
        <v>0</v>
      </c>
      <c r="I155" s="56" t="s">
        <v>4</v>
      </c>
      <c r="J155" s="19">
        <f t="shared" si="41"/>
        <v>0</v>
      </c>
      <c r="K155" s="21">
        <v>45</v>
      </c>
      <c r="L155" s="21">
        <f t="shared" si="46"/>
        <v>0</v>
      </c>
      <c r="M155" s="57">
        <v>0</v>
      </c>
      <c r="N155" s="91">
        <f t="shared" si="42"/>
        <v>0</v>
      </c>
      <c r="O155" s="21">
        <f t="shared" si="39"/>
        <v>0</v>
      </c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8" customHeight="1">
      <c r="A156" s="84"/>
      <c r="B156" s="16">
        <f t="shared" si="27"/>
        <v>148</v>
      </c>
      <c r="C156" s="17" t="s">
        <v>177</v>
      </c>
      <c r="D156" s="24" t="s">
        <v>11</v>
      </c>
      <c r="E156" s="24" t="s">
        <v>14</v>
      </c>
      <c r="F156" s="19">
        <f t="shared" si="40"/>
        <v>0.9</v>
      </c>
      <c r="G156" s="19">
        <v>30</v>
      </c>
      <c r="H156" s="30">
        <f t="shared" si="43"/>
        <v>27</v>
      </c>
      <c r="I156" s="56" t="s">
        <v>11</v>
      </c>
      <c r="J156" s="19">
        <f t="shared" si="41"/>
        <v>0.8</v>
      </c>
      <c r="K156" s="19">
        <v>45</v>
      </c>
      <c r="L156" s="21">
        <f t="shared" si="46"/>
        <v>36</v>
      </c>
      <c r="M156" s="57">
        <v>27</v>
      </c>
      <c r="N156" s="91">
        <f t="shared" si="42"/>
        <v>63</v>
      </c>
      <c r="O156" s="21">
        <f t="shared" ref="O156:O187" si="47">H156+N156</f>
        <v>90</v>
      </c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8" customHeight="1">
      <c r="A157" s="84"/>
      <c r="B157" s="16">
        <f t="shared" si="27"/>
        <v>149</v>
      </c>
      <c r="C157" s="17" t="s">
        <v>178</v>
      </c>
      <c r="D157" s="24" t="s">
        <v>14</v>
      </c>
      <c r="E157" s="24" t="s">
        <v>14</v>
      </c>
      <c r="F157" s="19">
        <f t="shared" si="40"/>
        <v>1</v>
      </c>
      <c r="G157" s="19">
        <v>30</v>
      </c>
      <c r="H157" s="30">
        <f t="shared" si="43"/>
        <v>30</v>
      </c>
      <c r="I157" s="56" t="s">
        <v>14</v>
      </c>
      <c r="J157" s="19">
        <f t="shared" si="41"/>
        <v>1</v>
      </c>
      <c r="K157" s="19">
        <v>45</v>
      </c>
      <c r="L157" s="21">
        <f t="shared" si="46"/>
        <v>45</v>
      </c>
      <c r="M157" s="57">
        <v>17</v>
      </c>
      <c r="N157" s="91">
        <f t="shared" si="42"/>
        <v>62</v>
      </c>
      <c r="O157" s="21">
        <f t="shared" si="47"/>
        <v>92</v>
      </c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8" customHeight="1">
      <c r="A158" s="84"/>
      <c r="B158" s="16">
        <f t="shared" si="27"/>
        <v>150</v>
      </c>
      <c r="C158" s="17" t="s">
        <v>179</v>
      </c>
      <c r="D158" s="24" t="s">
        <v>11</v>
      </c>
      <c r="E158" s="24" t="s">
        <v>14</v>
      </c>
      <c r="F158" s="19">
        <f t="shared" si="40"/>
        <v>0.9</v>
      </c>
      <c r="G158" s="19">
        <v>30</v>
      </c>
      <c r="H158" s="30">
        <f t="shared" si="43"/>
        <v>27</v>
      </c>
      <c r="I158" s="56" t="s">
        <v>14</v>
      </c>
      <c r="J158" s="19">
        <f t="shared" si="41"/>
        <v>1</v>
      </c>
      <c r="K158" s="19">
        <v>45</v>
      </c>
      <c r="L158" s="21">
        <f t="shared" si="46"/>
        <v>45</v>
      </c>
      <c r="M158" s="57">
        <v>29</v>
      </c>
      <c r="N158" s="91">
        <f t="shared" si="42"/>
        <v>74</v>
      </c>
      <c r="O158" s="21">
        <f t="shared" si="47"/>
        <v>101</v>
      </c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8" customHeight="1">
      <c r="A159" s="84"/>
      <c r="B159" s="16">
        <f t="shared" si="27"/>
        <v>151</v>
      </c>
      <c r="C159" s="17" t="s">
        <v>180</v>
      </c>
      <c r="D159" s="24" t="s">
        <v>14</v>
      </c>
      <c r="E159" s="24" t="s">
        <v>8</v>
      </c>
      <c r="F159" s="19">
        <f t="shared" si="40"/>
        <v>0.8</v>
      </c>
      <c r="G159" s="19">
        <v>30</v>
      </c>
      <c r="H159" s="30">
        <f t="shared" si="43"/>
        <v>24</v>
      </c>
      <c r="I159" s="56" t="s">
        <v>14</v>
      </c>
      <c r="J159" s="19">
        <f t="shared" si="41"/>
        <v>1</v>
      </c>
      <c r="K159" s="19">
        <v>45</v>
      </c>
      <c r="L159" s="21">
        <f t="shared" si="46"/>
        <v>45</v>
      </c>
      <c r="M159" s="57">
        <v>0</v>
      </c>
      <c r="N159" s="91">
        <f t="shared" si="42"/>
        <v>45</v>
      </c>
      <c r="O159" s="21">
        <f t="shared" si="47"/>
        <v>69</v>
      </c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8" customHeight="1">
      <c r="A160" s="84"/>
      <c r="B160" s="16">
        <f t="shared" si="27"/>
        <v>152</v>
      </c>
      <c r="C160" s="17" t="s">
        <v>181</v>
      </c>
      <c r="D160" s="24" t="s">
        <v>11</v>
      </c>
      <c r="E160" s="24" t="s">
        <v>14</v>
      </c>
      <c r="F160" s="19">
        <f t="shared" si="40"/>
        <v>0.9</v>
      </c>
      <c r="G160" s="19">
        <v>30</v>
      </c>
      <c r="H160" s="30">
        <f t="shared" si="43"/>
        <v>27</v>
      </c>
      <c r="I160" s="56" t="s">
        <v>14</v>
      </c>
      <c r="J160" s="19">
        <f t="shared" si="41"/>
        <v>1</v>
      </c>
      <c r="K160" s="19">
        <v>45</v>
      </c>
      <c r="L160" s="21">
        <f t="shared" si="46"/>
        <v>45</v>
      </c>
      <c r="M160" s="57">
        <v>22</v>
      </c>
      <c r="N160" s="91">
        <f t="shared" si="42"/>
        <v>67</v>
      </c>
      <c r="O160" s="21">
        <f t="shared" si="47"/>
        <v>94</v>
      </c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5.75" customHeight="1">
      <c r="B161" s="16">
        <f t="shared" si="27"/>
        <v>153</v>
      </c>
      <c r="C161" s="31" t="s">
        <v>182</v>
      </c>
      <c r="D161" s="98" t="s">
        <v>11</v>
      </c>
      <c r="E161" s="98" t="s">
        <v>8</v>
      </c>
      <c r="F161" s="99">
        <f t="shared" si="40"/>
        <v>0.7</v>
      </c>
      <c r="G161" s="19">
        <v>30</v>
      </c>
      <c r="H161" s="100">
        <f t="shared" si="43"/>
        <v>21</v>
      </c>
      <c r="I161" s="93" t="s">
        <v>14</v>
      </c>
      <c r="J161" s="101">
        <f t="shared" si="41"/>
        <v>1</v>
      </c>
      <c r="K161" s="19">
        <v>45</v>
      </c>
      <c r="L161" s="93">
        <f t="shared" si="46"/>
        <v>45</v>
      </c>
      <c r="M161" s="61">
        <v>17</v>
      </c>
      <c r="N161" s="96">
        <f t="shared" si="42"/>
        <v>62</v>
      </c>
      <c r="O161" s="21">
        <f t="shared" si="47"/>
        <v>83</v>
      </c>
    </row>
    <row r="162" spans="1:27" ht="18" customHeight="1">
      <c r="A162" s="84"/>
      <c r="B162" s="16">
        <f t="shared" si="27"/>
        <v>154</v>
      </c>
      <c r="C162" s="17" t="s">
        <v>183</v>
      </c>
      <c r="D162" s="24" t="s">
        <v>11</v>
      </c>
      <c r="E162" s="24" t="s">
        <v>11</v>
      </c>
      <c r="F162" s="19">
        <f t="shared" si="40"/>
        <v>0.8</v>
      </c>
      <c r="G162" s="19">
        <v>30</v>
      </c>
      <c r="H162" s="30">
        <f t="shared" si="43"/>
        <v>24</v>
      </c>
      <c r="I162" s="56" t="s">
        <v>14</v>
      </c>
      <c r="J162" s="19">
        <f t="shared" si="41"/>
        <v>1</v>
      </c>
      <c r="K162" s="19">
        <v>45</v>
      </c>
      <c r="L162" s="21">
        <f t="shared" si="46"/>
        <v>45</v>
      </c>
      <c r="M162" s="57">
        <v>18</v>
      </c>
      <c r="N162" s="91">
        <f t="shared" si="42"/>
        <v>63</v>
      </c>
      <c r="O162" s="21">
        <f t="shared" si="47"/>
        <v>87</v>
      </c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8" customHeight="1">
      <c r="A163" s="84"/>
      <c r="B163" s="16">
        <f t="shared" si="27"/>
        <v>155</v>
      </c>
      <c r="C163" s="17" t="s">
        <v>184</v>
      </c>
      <c r="D163" s="24" t="s">
        <v>11</v>
      </c>
      <c r="E163" s="24" t="s">
        <v>14</v>
      </c>
      <c r="F163" s="19">
        <f t="shared" si="40"/>
        <v>0.9</v>
      </c>
      <c r="G163" s="19">
        <v>30</v>
      </c>
      <c r="H163" s="30">
        <f t="shared" si="43"/>
        <v>27</v>
      </c>
      <c r="I163" s="56" t="s">
        <v>11</v>
      </c>
      <c r="J163" s="19">
        <f t="shared" si="41"/>
        <v>0.8</v>
      </c>
      <c r="K163" s="19">
        <v>45</v>
      </c>
      <c r="L163" s="21">
        <f t="shared" si="46"/>
        <v>36</v>
      </c>
      <c r="M163" s="57">
        <v>20</v>
      </c>
      <c r="N163" s="91">
        <f t="shared" si="42"/>
        <v>56</v>
      </c>
      <c r="O163" s="21">
        <f t="shared" si="47"/>
        <v>83</v>
      </c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8" customHeight="1">
      <c r="A164" s="84"/>
      <c r="B164" s="16">
        <f t="shared" si="27"/>
        <v>156</v>
      </c>
      <c r="C164" s="17" t="s">
        <v>185</v>
      </c>
      <c r="D164" s="24" t="s">
        <v>11</v>
      </c>
      <c r="E164" s="24" t="s">
        <v>14</v>
      </c>
      <c r="F164" s="19">
        <f t="shared" si="40"/>
        <v>0.9</v>
      </c>
      <c r="G164" s="19">
        <v>30</v>
      </c>
      <c r="H164" s="30">
        <f t="shared" si="43"/>
        <v>27</v>
      </c>
      <c r="I164" s="56" t="s">
        <v>14</v>
      </c>
      <c r="J164" s="19">
        <f t="shared" si="41"/>
        <v>1</v>
      </c>
      <c r="K164" s="38">
        <v>45</v>
      </c>
      <c r="L164" s="21">
        <f t="shared" si="46"/>
        <v>45</v>
      </c>
      <c r="M164" s="57">
        <v>5</v>
      </c>
      <c r="N164" s="91">
        <f t="shared" si="42"/>
        <v>50</v>
      </c>
      <c r="O164" s="21">
        <f t="shared" si="47"/>
        <v>77</v>
      </c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8" customHeight="1">
      <c r="A165" s="84"/>
      <c r="B165" s="16">
        <f t="shared" si="27"/>
        <v>157</v>
      </c>
      <c r="C165" s="17" t="s">
        <v>186</v>
      </c>
      <c r="D165" s="24" t="s">
        <v>11</v>
      </c>
      <c r="E165" s="24" t="s">
        <v>14</v>
      </c>
      <c r="F165" s="19">
        <f t="shared" si="40"/>
        <v>0.9</v>
      </c>
      <c r="G165" s="19">
        <v>30</v>
      </c>
      <c r="H165" s="30">
        <f t="shared" si="43"/>
        <v>27</v>
      </c>
      <c r="I165" s="56" t="s">
        <v>14</v>
      </c>
      <c r="J165" s="19">
        <f t="shared" si="41"/>
        <v>1</v>
      </c>
      <c r="K165" s="19">
        <v>45</v>
      </c>
      <c r="L165" s="21">
        <f t="shared" si="46"/>
        <v>45</v>
      </c>
      <c r="M165" s="57">
        <v>18</v>
      </c>
      <c r="N165" s="91">
        <f t="shared" si="42"/>
        <v>63</v>
      </c>
      <c r="O165" s="21">
        <f t="shared" si="47"/>
        <v>90</v>
      </c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8" customHeight="1">
      <c r="A166" s="84"/>
      <c r="B166" s="16">
        <f t="shared" si="27"/>
        <v>158</v>
      </c>
      <c r="C166" s="17" t="s">
        <v>187</v>
      </c>
      <c r="D166" s="24" t="s">
        <v>11</v>
      </c>
      <c r="E166" s="24" t="s">
        <v>11</v>
      </c>
      <c r="F166" s="19">
        <f t="shared" si="40"/>
        <v>0.8</v>
      </c>
      <c r="G166" s="19">
        <v>30</v>
      </c>
      <c r="H166" s="30">
        <f t="shared" si="43"/>
        <v>24</v>
      </c>
      <c r="I166" s="56" t="s">
        <v>14</v>
      </c>
      <c r="J166" s="19">
        <f t="shared" si="41"/>
        <v>1</v>
      </c>
      <c r="K166" s="19">
        <v>45</v>
      </c>
      <c r="L166" s="21">
        <f t="shared" si="46"/>
        <v>45</v>
      </c>
      <c r="M166" s="57">
        <v>0</v>
      </c>
      <c r="N166" s="91">
        <f t="shared" si="42"/>
        <v>45</v>
      </c>
      <c r="O166" s="21">
        <f t="shared" si="47"/>
        <v>69</v>
      </c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5.75" customHeight="1">
      <c r="B167" s="16">
        <f t="shared" si="27"/>
        <v>159</v>
      </c>
      <c r="C167" s="31" t="s">
        <v>188</v>
      </c>
      <c r="D167" s="24" t="s">
        <v>11</v>
      </c>
      <c r="E167" s="24" t="s">
        <v>6</v>
      </c>
      <c r="F167" s="25">
        <f t="shared" si="40"/>
        <v>0.4</v>
      </c>
      <c r="G167" s="19">
        <v>30</v>
      </c>
      <c r="H167" s="26">
        <f t="shared" si="43"/>
        <v>12</v>
      </c>
      <c r="I167" s="59" t="s">
        <v>14</v>
      </c>
      <c r="J167" s="25">
        <f t="shared" si="41"/>
        <v>1</v>
      </c>
      <c r="K167" s="64">
        <v>45</v>
      </c>
      <c r="L167" s="60">
        <f t="shared" si="46"/>
        <v>45</v>
      </c>
      <c r="M167" s="61">
        <v>14</v>
      </c>
      <c r="N167" s="96">
        <f t="shared" si="42"/>
        <v>59</v>
      </c>
      <c r="O167" s="21">
        <f t="shared" si="47"/>
        <v>71</v>
      </c>
    </row>
    <row r="168" spans="1:27" ht="18" customHeight="1">
      <c r="A168" s="84"/>
      <c r="B168" s="16">
        <f t="shared" si="27"/>
        <v>160</v>
      </c>
      <c r="C168" s="17" t="s">
        <v>189</v>
      </c>
      <c r="D168" s="24" t="s">
        <v>11</v>
      </c>
      <c r="E168" s="24" t="s">
        <v>6</v>
      </c>
      <c r="F168" s="19">
        <f t="shared" si="40"/>
        <v>0.4</v>
      </c>
      <c r="G168" s="19">
        <v>30</v>
      </c>
      <c r="H168" s="30">
        <f t="shared" si="43"/>
        <v>12</v>
      </c>
      <c r="I168" s="56" t="s">
        <v>14</v>
      </c>
      <c r="J168" s="19">
        <f t="shared" si="41"/>
        <v>1</v>
      </c>
      <c r="K168" s="19">
        <v>45</v>
      </c>
      <c r="L168" s="21">
        <f t="shared" si="46"/>
        <v>45</v>
      </c>
      <c r="M168" s="57">
        <v>0</v>
      </c>
      <c r="N168" s="91">
        <f t="shared" si="42"/>
        <v>45</v>
      </c>
      <c r="O168" s="21">
        <f t="shared" si="47"/>
        <v>57</v>
      </c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8" customHeight="1">
      <c r="A169" s="84"/>
      <c r="B169" s="16">
        <f t="shared" si="27"/>
        <v>161</v>
      </c>
      <c r="C169" s="17" t="s">
        <v>190</v>
      </c>
      <c r="D169" s="24" t="s">
        <v>6</v>
      </c>
      <c r="E169" s="24" t="s">
        <v>6</v>
      </c>
      <c r="F169" s="19">
        <f t="shared" si="40"/>
        <v>0</v>
      </c>
      <c r="G169" s="19">
        <v>30</v>
      </c>
      <c r="H169" s="30">
        <f t="shared" si="43"/>
        <v>0</v>
      </c>
      <c r="I169" s="56" t="s">
        <v>11</v>
      </c>
      <c r="J169" s="19">
        <f t="shared" si="41"/>
        <v>0.8</v>
      </c>
      <c r="K169" s="19">
        <v>45</v>
      </c>
      <c r="L169" s="21">
        <f t="shared" si="46"/>
        <v>36</v>
      </c>
      <c r="M169" s="57">
        <v>4</v>
      </c>
      <c r="N169" s="91">
        <f t="shared" si="42"/>
        <v>40</v>
      </c>
      <c r="O169" s="21">
        <f t="shared" si="47"/>
        <v>40</v>
      </c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8" customHeight="1">
      <c r="A170" s="84"/>
      <c r="B170" s="16">
        <f t="shared" si="27"/>
        <v>162</v>
      </c>
      <c r="C170" s="17" t="s">
        <v>191</v>
      </c>
      <c r="D170" s="24" t="s">
        <v>11</v>
      </c>
      <c r="E170" s="24" t="s">
        <v>8</v>
      </c>
      <c r="F170" s="19">
        <f t="shared" si="40"/>
        <v>0.7</v>
      </c>
      <c r="G170" s="19">
        <v>30</v>
      </c>
      <c r="H170" s="30">
        <f t="shared" si="43"/>
        <v>21</v>
      </c>
      <c r="I170" s="56" t="s">
        <v>14</v>
      </c>
      <c r="J170" s="19">
        <f t="shared" si="41"/>
        <v>1</v>
      </c>
      <c r="K170" s="19">
        <v>45</v>
      </c>
      <c r="L170" s="21">
        <f t="shared" si="46"/>
        <v>45</v>
      </c>
      <c r="M170" s="57">
        <v>15</v>
      </c>
      <c r="N170" s="91">
        <f t="shared" si="42"/>
        <v>60</v>
      </c>
      <c r="O170" s="21">
        <f t="shared" si="47"/>
        <v>81</v>
      </c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8" customHeight="1">
      <c r="A171" s="84"/>
      <c r="B171" s="16">
        <f t="shared" si="27"/>
        <v>163</v>
      </c>
      <c r="C171" s="17" t="s">
        <v>192</v>
      </c>
      <c r="D171" s="24" t="s">
        <v>11</v>
      </c>
      <c r="E171" s="24" t="s">
        <v>6</v>
      </c>
      <c r="F171" s="19">
        <f t="shared" si="40"/>
        <v>0.4</v>
      </c>
      <c r="G171" s="19">
        <v>30</v>
      </c>
      <c r="H171" s="30">
        <f t="shared" si="43"/>
        <v>12</v>
      </c>
      <c r="I171" s="56" t="s">
        <v>14</v>
      </c>
      <c r="J171" s="19">
        <f t="shared" si="41"/>
        <v>1</v>
      </c>
      <c r="K171" s="19">
        <v>45</v>
      </c>
      <c r="L171" s="21">
        <f t="shared" si="46"/>
        <v>45</v>
      </c>
      <c r="M171" s="57">
        <v>12</v>
      </c>
      <c r="N171" s="91">
        <f t="shared" si="42"/>
        <v>57</v>
      </c>
      <c r="O171" s="21">
        <f t="shared" si="47"/>
        <v>69</v>
      </c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8" customHeight="1">
      <c r="A172" s="84"/>
      <c r="B172" s="16">
        <f t="shared" si="27"/>
        <v>164</v>
      </c>
      <c r="C172" s="17" t="s">
        <v>193</v>
      </c>
      <c r="D172" s="24" t="s">
        <v>14</v>
      </c>
      <c r="E172" s="24" t="s">
        <v>14</v>
      </c>
      <c r="F172" s="19">
        <f t="shared" si="40"/>
        <v>1</v>
      </c>
      <c r="G172" s="19">
        <v>30</v>
      </c>
      <c r="H172" s="30">
        <f t="shared" si="43"/>
        <v>30</v>
      </c>
      <c r="I172" s="56" t="s">
        <v>14</v>
      </c>
      <c r="J172" s="19">
        <f t="shared" si="41"/>
        <v>1</v>
      </c>
      <c r="K172" s="19">
        <v>45</v>
      </c>
      <c r="L172" s="21">
        <f t="shared" si="46"/>
        <v>45</v>
      </c>
      <c r="M172" s="57">
        <v>28</v>
      </c>
      <c r="N172" s="91">
        <f t="shared" si="42"/>
        <v>73</v>
      </c>
      <c r="O172" s="21">
        <f t="shared" si="47"/>
        <v>103</v>
      </c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8" customHeight="1">
      <c r="A173" s="84"/>
      <c r="B173" s="16">
        <f t="shared" si="27"/>
        <v>165</v>
      </c>
      <c r="C173" s="17" t="s">
        <v>194</v>
      </c>
      <c r="D173" s="24" t="s">
        <v>11</v>
      </c>
      <c r="E173" s="24" t="s">
        <v>8</v>
      </c>
      <c r="F173" s="19">
        <f t="shared" si="40"/>
        <v>0.7</v>
      </c>
      <c r="G173" s="19">
        <v>30</v>
      </c>
      <c r="H173" s="30">
        <f t="shared" si="43"/>
        <v>21</v>
      </c>
      <c r="I173" s="56" t="s">
        <v>14</v>
      </c>
      <c r="J173" s="19">
        <f t="shared" si="41"/>
        <v>1</v>
      </c>
      <c r="K173" s="19">
        <v>45</v>
      </c>
      <c r="L173" s="21">
        <f t="shared" si="46"/>
        <v>45</v>
      </c>
      <c r="M173" s="57">
        <v>14</v>
      </c>
      <c r="N173" s="91">
        <f t="shared" si="42"/>
        <v>59</v>
      </c>
      <c r="O173" s="21">
        <f t="shared" si="47"/>
        <v>80</v>
      </c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8" customHeight="1">
      <c r="A174" s="84"/>
      <c r="B174" s="16">
        <f t="shared" si="27"/>
        <v>166</v>
      </c>
      <c r="C174" s="17" t="s">
        <v>195</v>
      </c>
      <c r="D174" s="24" t="s">
        <v>11</v>
      </c>
      <c r="E174" s="24" t="s">
        <v>11</v>
      </c>
      <c r="F174" s="19">
        <f t="shared" si="40"/>
        <v>0.8</v>
      </c>
      <c r="G174" s="19">
        <v>30</v>
      </c>
      <c r="H174" s="30">
        <f t="shared" si="43"/>
        <v>24</v>
      </c>
      <c r="I174" s="56" t="s">
        <v>11</v>
      </c>
      <c r="J174" s="19">
        <f t="shared" si="41"/>
        <v>0.8</v>
      </c>
      <c r="K174" s="21">
        <v>45</v>
      </c>
      <c r="L174" s="21">
        <f t="shared" si="46"/>
        <v>36</v>
      </c>
      <c r="M174" s="57">
        <v>17</v>
      </c>
      <c r="N174" s="91">
        <f t="shared" si="42"/>
        <v>53</v>
      </c>
      <c r="O174" s="21">
        <f t="shared" si="47"/>
        <v>77</v>
      </c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8" customHeight="1">
      <c r="A175" s="84"/>
      <c r="B175" s="16">
        <f t="shared" si="27"/>
        <v>167</v>
      </c>
      <c r="C175" s="17" t="s">
        <v>196</v>
      </c>
      <c r="D175" s="24" t="s">
        <v>11</v>
      </c>
      <c r="E175" s="24" t="s">
        <v>11</v>
      </c>
      <c r="F175" s="19">
        <f t="shared" si="40"/>
        <v>0.8</v>
      </c>
      <c r="G175" s="19">
        <v>30</v>
      </c>
      <c r="H175" s="30">
        <f t="shared" si="43"/>
        <v>24</v>
      </c>
      <c r="I175" s="56" t="s">
        <v>11</v>
      </c>
      <c r="J175" s="19">
        <f t="shared" si="41"/>
        <v>0.8</v>
      </c>
      <c r="K175" s="19">
        <v>45</v>
      </c>
      <c r="L175" s="21">
        <f t="shared" ref="L175:L199" si="48">J175*K175</f>
        <v>36</v>
      </c>
      <c r="M175" s="57">
        <v>23</v>
      </c>
      <c r="N175" s="91">
        <f t="shared" si="42"/>
        <v>59</v>
      </c>
      <c r="O175" s="21">
        <f t="shared" si="47"/>
        <v>83</v>
      </c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8" customHeight="1">
      <c r="A176" s="84"/>
      <c r="B176" s="16">
        <f t="shared" si="27"/>
        <v>168</v>
      </c>
      <c r="C176" s="17" t="s">
        <v>197</v>
      </c>
      <c r="D176" s="24" t="s">
        <v>11</v>
      </c>
      <c r="E176" s="24" t="s">
        <v>8</v>
      </c>
      <c r="F176" s="19">
        <f t="shared" si="40"/>
        <v>0.7</v>
      </c>
      <c r="G176" s="19">
        <v>30</v>
      </c>
      <c r="H176" s="30">
        <f t="shared" si="43"/>
        <v>21</v>
      </c>
      <c r="I176" s="56" t="s">
        <v>11</v>
      </c>
      <c r="J176" s="19">
        <f t="shared" si="41"/>
        <v>0.8</v>
      </c>
      <c r="K176" s="19">
        <v>45</v>
      </c>
      <c r="L176" s="21">
        <f t="shared" si="48"/>
        <v>36</v>
      </c>
      <c r="M176" s="57">
        <v>10</v>
      </c>
      <c r="N176" s="91">
        <f t="shared" si="42"/>
        <v>46</v>
      </c>
      <c r="O176" s="21">
        <f t="shared" si="47"/>
        <v>67</v>
      </c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8" customHeight="1">
      <c r="A177" s="84"/>
      <c r="B177" s="16">
        <f t="shared" si="27"/>
        <v>169</v>
      </c>
      <c r="C177" s="17" t="s">
        <v>198</v>
      </c>
      <c r="D177" s="24" t="s">
        <v>11</v>
      </c>
      <c r="E177" s="24" t="s">
        <v>8</v>
      </c>
      <c r="F177" s="19">
        <f t="shared" si="40"/>
        <v>0.7</v>
      </c>
      <c r="G177" s="19">
        <v>30</v>
      </c>
      <c r="H177" s="30">
        <f t="shared" si="43"/>
        <v>21</v>
      </c>
      <c r="I177" s="56" t="s">
        <v>11</v>
      </c>
      <c r="J177" s="19">
        <f t="shared" si="41"/>
        <v>0.8</v>
      </c>
      <c r="K177" s="19">
        <v>45</v>
      </c>
      <c r="L177" s="21">
        <f t="shared" si="48"/>
        <v>36</v>
      </c>
      <c r="M177" s="57">
        <v>27</v>
      </c>
      <c r="N177" s="91">
        <f t="shared" si="42"/>
        <v>63</v>
      </c>
      <c r="O177" s="21">
        <f t="shared" si="47"/>
        <v>84</v>
      </c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8" customHeight="1">
      <c r="A178" s="84"/>
      <c r="B178" s="16">
        <f t="shared" si="27"/>
        <v>170</v>
      </c>
      <c r="C178" s="17" t="s">
        <v>199</v>
      </c>
      <c r="D178" s="24" t="s">
        <v>11</v>
      </c>
      <c r="E178" s="24" t="s">
        <v>8</v>
      </c>
      <c r="F178" s="19">
        <f t="shared" si="40"/>
        <v>0.7</v>
      </c>
      <c r="G178" s="19">
        <v>30</v>
      </c>
      <c r="H178" s="30">
        <f t="shared" si="43"/>
        <v>21</v>
      </c>
      <c r="I178" s="56" t="s">
        <v>14</v>
      </c>
      <c r="J178" s="19">
        <f t="shared" si="41"/>
        <v>1</v>
      </c>
      <c r="K178" s="19">
        <v>45</v>
      </c>
      <c r="L178" s="21">
        <f t="shared" si="48"/>
        <v>45</v>
      </c>
      <c r="M178" s="57">
        <v>14</v>
      </c>
      <c r="N178" s="91">
        <f t="shared" si="42"/>
        <v>59</v>
      </c>
      <c r="O178" s="21">
        <f t="shared" si="47"/>
        <v>80</v>
      </c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8" customHeight="1">
      <c r="A179" s="84"/>
      <c r="B179" s="16">
        <f t="shared" si="27"/>
        <v>171</v>
      </c>
      <c r="C179" s="17" t="s">
        <v>200</v>
      </c>
      <c r="D179" s="24" t="s">
        <v>14</v>
      </c>
      <c r="E179" s="24" t="s">
        <v>14</v>
      </c>
      <c r="F179" s="19">
        <f t="shared" si="40"/>
        <v>1</v>
      </c>
      <c r="G179" s="19">
        <v>30</v>
      </c>
      <c r="H179" s="30">
        <f t="shared" si="43"/>
        <v>30</v>
      </c>
      <c r="I179" s="56" t="s">
        <v>11</v>
      </c>
      <c r="J179" s="19">
        <f t="shared" si="41"/>
        <v>0.8</v>
      </c>
      <c r="K179" s="19">
        <v>45</v>
      </c>
      <c r="L179" s="21">
        <f t="shared" si="48"/>
        <v>36</v>
      </c>
      <c r="M179" s="57">
        <v>28</v>
      </c>
      <c r="N179" s="91">
        <f t="shared" si="42"/>
        <v>64</v>
      </c>
      <c r="O179" s="21">
        <f t="shared" si="47"/>
        <v>94</v>
      </c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8" customHeight="1">
      <c r="A180" s="84"/>
      <c r="B180" s="16">
        <f t="shared" si="27"/>
        <v>172</v>
      </c>
      <c r="C180" s="17" t="s">
        <v>201</v>
      </c>
      <c r="D180" s="24" t="s">
        <v>11</v>
      </c>
      <c r="E180" s="24" t="s">
        <v>8</v>
      </c>
      <c r="F180" s="19">
        <f t="shared" si="40"/>
        <v>0.7</v>
      </c>
      <c r="G180" s="19">
        <v>30</v>
      </c>
      <c r="H180" s="30">
        <f t="shared" si="43"/>
        <v>21</v>
      </c>
      <c r="I180" s="56" t="s">
        <v>14</v>
      </c>
      <c r="J180" s="19">
        <f t="shared" si="41"/>
        <v>1</v>
      </c>
      <c r="K180" s="19">
        <v>45</v>
      </c>
      <c r="L180" s="21">
        <f t="shared" si="48"/>
        <v>45</v>
      </c>
      <c r="M180" s="57">
        <v>27</v>
      </c>
      <c r="N180" s="91">
        <f t="shared" si="42"/>
        <v>72</v>
      </c>
      <c r="O180" s="21">
        <f t="shared" si="47"/>
        <v>93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8" customHeight="1">
      <c r="A181" s="84"/>
      <c r="B181" s="16">
        <f t="shared" ref="B181:B214" si="49">ROW(B173)</f>
        <v>173</v>
      </c>
      <c r="C181" s="17" t="s">
        <v>202</v>
      </c>
      <c r="D181" s="32" t="s">
        <v>14</v>
      </c>
      <c r="E181" s="24" t="s">
        <v>11</v>
      </c>
      <c r="F181" s="19">
        <f t="shared" si="40"/>
        <v>0.9</v>
      </c>
      <c r="G181" s="19">
        <v>30</v>
      </c>
      <c r="H181" s="30">
        <f t="shared" si="43"/>
        <v>27</v>
      </c>
      <c r="I181" s="56" t="s">
        <v>11</v>
      </c>
      <c r="J181" s="19">
        <f t="shared" si="41"/>
        <v>0.8</v>
      </c>
      <c r="K181" s="19">
        <v>45</v>
      </c>
      <c r="L181" s="21">
        <f t="shared" si="48"/>
        <v>36</v>
      </c>
      <c r="M181" s="57">
        <v>24</v>
      </c>
      <c r="N181" s="91">
        <f t="shared" si="42"/>
        <v>60</v>
      </c>
      <c r="O181" s="21">
        <f t="shared" si="47"/>
        <v>87</v>
      </c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8" customHeight="1">
      <c r="A182" s="84"/>
      <c r="B182" s="16">
        <f t="shared" si="49"/>
        <v>174</v>
      </c>
      <c r="C182" s="17" t="s">
        <v>203</v>
      </c>
      <c r="D182" s="24" t="s">
        <v>11</v>
      </c>
      <c r="E182" s="24" t="s">
        <v>8</v>
      </c>
      <c r="F182" s="19">
        <f t="shared" si="40"/>
        <v>0.7</v>
      </c>
      <c r="G182" s="19">
        <v>30</v>
      </c>
      <c r="H182" s="30">
        <f t="shared" si="43"/>
        <v>21</v>
      </c>
      <c r="I182" s="56" t="s">
        <v>14</v>
      </c>
      <c r="J182" s="19">
        <f t="shared" si="41"/>
        <v>1</v>
      </c>
      <c r="K182" s="19">
        <v>45</v>
      </c>
      <c r="L182" s="21">
        <f t="shared" si="48"/>
        <v>45</v>
      </c>
      <c r="M182" s="57">
        <v>24</v>
      </c>
      <c r="N182" s="91">
        <f t="shared" si="42"/>
        <v>69</v>
      </c>
      <c r="O182" s="21">
        <f t="shared" si="47"/>
        <v>90</v>
      </c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8" customHeight="1">
      <c r="A183" s="84"/>
      <c r="B183" s="16">
        <f t="shared" si="49"/>
        <v>175</v>
      </c>
      <c r="C183" s="17" t="s">
        <v>204</v>
      </c>
      <c r="D183" s="24" t="s">
        <v>11</v>
      </c>
      <c r="E183" s="24" t="s">
        <v>14</v>
      </c>
      <c r="F183" s="19">
        <f t="shared" si="40"/>
        <v>0.9</v>
      </c>
      <c r="G183" s="19">
        <v>30</v>
      </c>
      <c r="H183" s="30">
        <f t="shared" si="43"/>
        <v>27</v>
      </c>
      <c r="I183" s="56" t="s">
        <v>14</v>
      </c>
      <c r="J183" s="19">
        <f t="shared" si="41"/>
        <v>1</v>
      </c>
      <c r="K183" s="19">
        <v>45</v>
      </c>
      <c r="L183" s="21">
        <f t="shared" si="48"/>
        <v>45</v>
      </c>
      <c r="M183" s="57">
        <v>16</v>
      </c>
      <c r="N183" s="91">
        <f t="shared" si="42"/>
        <v>61</v>
      </c>
      <c r="O183" s="21">
        <f t="shared" si="47"/>
        <v>88</v>
      </c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8" customHeight="1">
      <c r="A184" s="84"/>
      <c r="B184" s="16">
        <f t="shared" si="49"/>
        <v>176</v>
      </c>
      <c r="C184" s="17" t="s">
        <v>205</v>
      </c>
      <c r="D184" s="24" t="s">
        <v>14</v>
      </c>
      <c r="E184" s="24" t="s">
        <v>11</v>
      </c>
      <c r="F184" s="19">
        <f t="shared" si="40"/>
        <v>0.9</v>
      </c>
      <c r="G184" s="19">
        <v>30</v>
      </c>
      <c r="H184" s="30">
        <f t="shared" si="43"/>
        <v>27</v>
      </c>
      <c r="I184" s="56" t="s">
        <v>11</v>
      </c>
      <c r="J184" s="19">
        <f t="shared" si="41"/>
        <v>0.8</v>
      </c>
      <c r="K184" s="19">
        <v>45</v>
      </c>
      <c r="L184" s="21">
        <f t="shared" si="48"/>
        <v>36</v>
      </c>
      <c r="M184" s="57">
        <v>26</v>
      </c>
      <c r="N184" s="91">
        <f t="shared" si="42"/>
        <v>62</v>
      </c>
      <c r="O184" s="21">
        <f t="shared" si="47"/>
        <v>89</v>
      </c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8" customHeight="1">
      <c r="A185" s="84"/>
      <c r="B185" s="16">
        <f t="shared" si="49"/>
        <v>177</v>
      </c>
      <c r="C185" s="17" t="s">
        <v>206</v>
      </c>
      <c r="D185" s="24" t="s">
        <v>8</v>
      </c>
      <c r="E185" s="24" t="s">
        <v>6</v>
      </c>
      <c r="F185" s="19">
        <f t="shared" si="40"/>
        <v>0.3</v>
      </c>
      <c r="G185" s="19">
        <v>30</v>
      </c>
      <c r="H185" s="30">
        <f t="shared" si="43"/>
        <v>9</v>
      </c>
      <c r="I185" s="56" t="s">
        <v>11</v>
      </c>
      <c r="J185" s="19">
        <f t="shared" si="41"/>
        <v>0.8</v>
      </c>
      <c r="K185" s="19">
        <v>45</v>
      </c>
      <c r="L185" s="21">
        <f t="shared" si="48"/>
        <v>36</v>
      </c>
      <c r="M185" s="57">
        <v>18</v>
      </c>
      <c r="N185" s="91">
        <f t="shared" si="42"/>
        <v>54</v>
      </c>
      <c r="O185" s="21">
        <f t="shared" si="47"/>
        <v>63</v>
      </c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8" customHeight="1">
      <c r="A186" s="84"/>
      <c r="B186" s="16">
        <f t="shared" si="49"/>
        <v>178</v>
      </c>
      <c r="C186" s="17" t="s">
        <v>207</v>
      </c>
      <c r="D186" s="24" t="s">
        <v>11</v>
      </c>
      <c r="E186" s="24" t="s">
        <v>11</v>
      </c>
      <c r="F186" s="19">
        <f t="shared" si="40"/>
        <v>0.8</v>
      </c>
      <c r="G186" s="19">
        <v>30</v>
      </c>
      <c r="H186" s="30">
        <f t="shared" si="43"/>
        <v>24</v>
      </c>
      <c r="I186" s="56" t="s">
        <v>14</v>
      </c>
      <c r="J186" s="19">
        <f t="shared" si="41"/>
        <v>1</v>
      </c>
      <c r="K186" s="19">
        <v>45</v>
      </c>
      <c r="L186" s="21">
        <f t="shared" si="48"/>
        <v>45</v>
      </c>
      <c r="M186" s="57">
        <v>28</v>
      </c>
      <c r="N186" s="91">
        <f t="shared" si="42"/>
        <v>73</v>
      </c>
      <c r="O186" s="21">
        <f t="shared" si="47"/>
        <v>97</v>
      </c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8" customHeight="1">
      <c r="A187" s="84"/>
      <c r="B187" s="16">
        <f t="shared" si="49"/>
        <v>179</v>
      </c>
      <c r="C187" s="17" t="s">
        <v>208</v>
      </c>
      <c r="D187" s="24" t="s">
        <v>11</v>
      </c>
      <c r="E187" s="24" t="s">
        <v>14</v>
      </c>
      <c r="F187" s="19">
        <f t="shared" si="40"/>
        <v>0.9</v>
      </c>
      <c r="G187" s="19">
        <v>30</v>
      </c>
      <c r="H187" s="30">
        <f t="shared" si="43"/>
        <v>27</v>
      </c>
      <c r="I187" s="56" t="s">
        <v>14</v>
      </c>
      <c r="J187" s="19">
        <f t="shared" si="41"/>
        <v>1</v>
      </c>
      <c r="K187" s="19">
        <v>45</v>
      </c>
      <c r="L187" s="21">
        <f t="shared" si="48"/>
        <v>45</v>
      </c>
      <c r="M187" s="57">
        <v>27</v>
      </c>
      <c r="N187" s="91">
        <f t="shared" si="42"/>
        <v>72</v>
      </c>
      <c r="O187" s="21">
        <f t="shared" si="47"/>
        <v>99</v>
      </c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s="1" customFormat="1" ht="18" customHeight="1">
      <c r="A188" s="97"/>
      <c r="B188" s="36">
        <f t="shared" si="49"/>
        <v>180</v>
      </c>
      <c r="C188" s="76" t="s">
        <v>209</v>
      </c>
      <c r="D188" s="32" t="s">
        <v>11</v>
      </c>
      <c r="E188" s="24" t="s">
        <v>6</v>
      </c>
      <c r="F188" s="29">
        <f t="shared" si="40"/>
        <v>0.4</v>
      </c>
      <c r="G188" s="29">
        <v>30</v>
      </c>
      <c r="H188" s="30">
        <f t="shared" si="43"/>
        <v>12</v>
      </c>
      <c r="I188" s="18" t="s">
        <v>4</v>
      </c>
      <c r="J188" s="29">
        <f t="shared" si="41"/>
        <v>0</v>
      </c>
      <c r="K188" s="29">
        <v>45</v>
      </c>
      <c r="L188" s="69">
        <f t="shared" si="48"/>
        <v>0</v>
      </c>
      <c r="M188" s="69">
        <v>0</v>
      </c>
      <c r="N188" s="91">
        <f t="shared" si="42"/>
        <v>0</v>
      </c>
      <c r="O188" s="69">
        <f t="shared" ref="O188:O212" si="50">H188+N188</f>
        <v>12</v>
      </c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</row>
    <row r="189" spans="1:27" ht="18" customHeight="1">
      <c r="A189" s="84"/>
      <c r="B189" s="16">
        <f t="shared" si="49"/>
        <v>181</v>
      </c>
      <c r="C189" s="17" t="s">
        <v>210</v>
      </c>
      <c r="D189" s="24" t="s">
        <v>11</v>
      </c>
      <c r="E189" s="24" t="s">
        <v>8</v>
      </c>
      <c r="F189" s="19">
        <f t="shared" si="40"/>
        <v>0.7</v>
      </c>
      <c r="G189" s="19">
        <v>30</v>
      </c>
      <c r="H189" s="30">
        <f t="shared" si="43"/>
        <v>21</v>
      </c>
      <c r="I189" s="56" t="s">
        <v>11</v>
      </c>
      <c r="J189" s="19">
        <f t="shared" si="41"/>
        <v>0.8</v>
      </c>
      <c r="K189" s="19">
        <v>45</v>
      </c>
      <c r="L189" s="21">
        <f t="shared" si="48"/>
        <v>36</v>
      </c>
      <c r="M189" s="57">
        <v>26</v>
      </c>
      <c r="N189" s="91">
        <f t="shared" si="42"/>
        <v>62</v>
      </c>
      <c r="O189" s="21">
        <f t="shared" si="50"/>
        <v>83</v>
      </c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8" customHeight="1">
      <c r="A190" s="84"/>
      <c r="B190" s="16">
        <f t="shared" si="49"/>
        <v>182</v>
      </c>
      <c r="C190" s="17" t="s">
        <v>211</v>
      </c>
      <c r="D190" s="24" t="s">
        <v>11</v>
      </c>
      <c r="E190" s="24" t="s">
        <v>8</v>
      </c>
      <c r="F190" s="19">
        <f t="shared" ref="F190:F248" si="51">(0.5*(IF(E190="AB",0,(IF(E190="NA",0,(IF(E190="P",0.6,(IF(E190="M",0.8,(IF(E190="D",1,"False Entry")))))))))))+(0.5*(IF(D190="AB",0,(IF(D190="NA",0,(IF(D190="P",0.6,(IF(D190="M",0.8,(IF(D190="D",1,"False Entry")))))))))))</f>
        <v>0.7</v>
      </c>
      <c r="G190" s="19">
        <v>30</v>
      </c>
      <c r="H190" s="30">
        <f t="shared" si="43"/>
        <v>21</v>
      </c>
      <c r="I190" s="56" t="s">
        <v>14</v>
      </c>
      <c r="J190" s="19">
        <f t="shared" ref="J190:J248" si="52">(IF(I190="AB",0,IF(I190="NA",0,IF(I190="P",0.6,IF(I190="M",0.8,IF(I190="D",1,"False Entry"))))))</f>
        <v>1</v>
      </c>
      <c r="K190" s="19">
        <v>45</v>
      </c>
      <c r="L190" s="21">
        <f t="shared" si="48"/>
        <v>45</v>
      </c>
      <c r="M190" s="57">
        <v>15</v>
      </c>
      <c r="N190" s="91">
        <f t="shared" ref="N190:N248" si="53">ROUNDUP(M190+L190,0)</f>
        <v>60</v>
      </c>
      <c r="O190" s="21">
        <f t="shared" si="50"/>
        <v>81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8" customHeight="1">
      <c r="A191" s="84"/>
      <c r="B191" s="16">
        <f t="shared" si="49"/>
        <v>183</v>
      </c>
      <c r="C191" s="17" t="s">
        <v>212</v>
      </c>
      <c r="D191" s="24" t="s">
        <v>14</v>
      </c>
      <c r="E191" s="24" t="s">
        <v>14</v>
      </c>
      <c r="F191" s="19">
        <f t="shared" si="51"/>
        <v>1</v>
      </c>
      <c r="G191" s="19">
        <v>30</v>
      </c>
      <c r="H191" s="30">
        <f t="shared" si="43"/>
        <v>30</v>
      </c>
      <c r="I191" s="56" t="s">
        <v>14</v>
      </c>
      <c r="J191" s="19">
        <f t="shared" si="52"/>
        <v>1</v>
      </c>
      <c r="K191" s="19">
        <v>45</v>
      </c>
      <c r="L191" s="21">
        <f t="shared" si="48"/>
        <v>45</v>
      </c>
      <c r="M191" s="57">
        <v>28</v>
      </c>
      <c r="N191" s="91">
        <f t="shared" si="53"/>
        <v>73</v>
      </c>
      <c r="O191" s="21">
        <f t="shared" si="50"/>
        <v>103</v>
      </c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s="1" customFormat="1" ht="18" customHeight="1">
      <c r="A192" s="97"/>
      <c r="B192" s="16">
        <f t="shared" si="49"/>
        <v>184</v>
      </c>
      <c r="C192" s="76" t="s">
        <v>213</v>
      </c>
      <c r="D192" s="24" t="s">
        <v>11</v>
      </c>
      <c r="E192" s="24" t="s">
        <v>6</v>
      </c>
      <c r="F192" s="29">
        <f t="shared" si="51"/>
        <v>0.4</v>
      </c>
      <c r="G192" s="29">
        <v>30</v>
      </c>
      <c r="H192" s="30">
        <f t="shared" si="43"/>
        <v>12</v>
      </c>
      <c r="I192" s="18" t="s">
        <v>4</v>
      </c>
      <c r="J192" s="29">
        <f t="shared" si="52"/>
        <v>0</v>
      </c>
      <c r="K192" s="29">
        <v>45</v>
      </c>
      <c r="L192" s="69">
        <f t="shared" si="48"/>
        <v>0</v>
      </c>
      <c r="M192" s="69">
        <v>12</v>
      </c>
      <c r="N192" s="91">
        <f t="shared" si="53"/>
        <v>12</v>
      </c>
      <c r="O192" s="69">
        <f t="shared" si="50"/>
        <v>24</v>
      </c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</row>
    <row r="193" spans="1:27" ht="18" customHeight="1">
      <c r="A193" s="84"/>
      <c r="B193" s="16">
        <f t="shared" si="49"/>
        <v>185</v>
      </c>
      <c r="C193" s="17" t="s">
        <v>214</v>
      </c>
      <c r="D193" s="24" t="s">
        <v>11</v>
      </c>
      <c r="E193" s="24" t="s">
        <v>11</v>
      </c>
      <c r="F193" s="19">
        <f t="shared" si="51"/>
        <v>0.8</v>
      </c>
      <c r="G193" s="19">
        <v>30</v>
      </c>
      <c r="H193" s="30">
        <f t="shared" si="43"/>
        <v>24</v>
      </c>
      <c r="I193" s="56" t="s">
        <v>14</v>
      </c>
      <c r="J193" s="19">
        <f t="shared" si="52"/>
        <v>1</v>
      </c>
      <c r="K193" s="19">
        <v>45</v>
      </c>
      <c r="L193" s="21">
        <f t="shared" si="48"/>
        <v>45</v>
      </c>
      <c r="M193" s="57">
        <v>10</v>
      </c>
      <c r="N193" s="91">
        <f t="shared" si="53"/>
        <v>55</v>
      </c>
      <c r="O193" s="21">
        <f t="shared" si="50"/>
        <v>79</v>
      </c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8" customHeight="1">
      <c r="A194" s="84"/>
      <c r="B194" s="16">
        <f t="shared" si="49"/>
        <v>186</v>
      </c>
      <c r="C194" s="17" t="s">
        <v>215</v>
      </c>
      <c r="D194" s="24" t="s">
        <v>11</v>
      </c>
      <c r="E194" s="24" t="s">
        <v>11</v>
      </c>
      <c r="F194" s="19">
        <f t="shared" si="51"/>
        <v>0.8</v>
      </c>
      <c r="G194" s="19">
        <v>30</v>
      </c>
      <c r="H194" s="30">
        <f t="shared" si="43"/>
        <v>24</v>
      </c>
      <c r="I194" s="56" t="s">
        <v>14</v>
      </c>
      <c r="J194" s="19">
        <f t="shared" si="52"/>
        <v>1</v>
      </c>
      <c r="K194" s="19">
        <v>45</v>
      </c>
      <c r="L194" s="21">
        <f t="shared" si="48"/>
        <v>45</v>
      </c>
      <c r="M194" s="57">
        <v>10</v>
      </c>
      <c r="N194" s="91">
        <f t="shared" si="53"/>
        <v>55</v>
      </c>
      <c r="O194" s="21">
        <f t="shared" si="50"/>
        <v>79</v>
      </c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8" customHeight="1">
      <c r="A195" s="84"/>
      <c r="B195" s="16">
        <f t="shared" si="49"/>
        <v>187</v>
      </c>
      <c r="C195" s="17" t="s">
        <v>216</v>
      </c>
      <c r="D195" s="24" t="s">
        <v>11</v>
      </c>
      <c r="E195" s="24" t="s">
        <v>8</v>
      </c>
      <c r="F195" s="19">
        <f t="shared" si="51"/>
        <v>0.7</v>
      </c>
      <c r="G195" s="19">
        <v>30</v>
      </c>
      <c r="H195" s="30">
        <f t="shared" ref="H195:H254" si="54">ROUNDUP(F195*G195,0)</f>
        <v>21</v>
      </c>
      <c r="I195" s="56" t="s">
        <v>14</v>
      </c>
      <c r="J195" s="19">
        <f t="shared" si="52"/>
        <v>1</v>
      </c>
      <c r="K195" s="19">
        <v>45</v>
      </c>
      <c r="L195" s="21">
        <f t="shared" si="48"/>
        <v>45</v>
      </c>
      <c r="M195" s="57">
        <v>22</v>
      </c>
      <c r="N195" s="91">
        <f t="shared" si="53"/>
        <v>67</v>
      </c>
      <c r="O195" s="21">
        <f t="shared" si="50"/>
        <v>88</v>
      </c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5.75" customHeight="1">
      <c r="B196" s="16">
        <f t="shared" si="49"/>
        <v>188</v>
      </c>
      <c r="C196" s="31" t="s">
        <v>217</v>
      </c>
      <c r="D196" s="32" t="s">
        <v>11</v>
      </c>
      <c r="E196" s="24" t="s">
        <v>8</v>
      </c>
      <c r="F196" s="25">
        <f t="shared" si="51"/>
        <v>0.7</v>
      </c>
      <c r="G196" s="19">
        <v>30</v>
      </c>
      <c r="H196" s="26">
        <f t="shared" si="54"/>
        <v>21</v>
      </c>
      <c r="I196" s="59" t="s">
        <v>14</v>
      </c>
      <c r="J196" s="25">
        <f t="shared" si="52"/>
        <v>1</v>
      </c>
      <c r="K196" s="19">
        <v>45</v>
      </c>
      <c r="L196" s="60">
        <f t="shared" si="48"/>
        <v>45</v>
      </c>
      <c r="M196" s="61">
        <v>29</v>
      </c>
      <c r="N196" s="96">
        <f t="shared" si="53"/>
        <v>74</v>
      </c>
      <c r="O196" s="21">
        <f t="shared" si="50"/>
        <v>95</v>
      </c>
    </row>
    <row r="197" spans="1:27" ht="18" customHeight="1">
      <c r="A197" s="84"/>
      <c r="B197" s="16">
        <f t="shared" si="49"/>
        <v>189</v>
      </c>
      <c r="C197" s="17" t="s">
        <v>218</v>
      </c>
      <c r="D197" s="24" t="s">
        <v>11</v>
      </c>
      <c r="E197" s="24" t="s">
        <v>11</v>
      </c>
      <c r="F197" s="19">
        <f t="shared" si="51"/>
        <v>0.8</v>
      </c>
      <c r="G197" s="19">
        <v>30</v>
      </c>
      <c r="H197" s="30">
        <f t="shared" si="54"/>
        <v>24</v>
      </c>
      <c r="I197" s="56" t="s">
        <v>14</v>
      </c>
      <c r="J197" s="19">
        <f t="shared" si="52"/>
        <v>1</v>
      </c>
      <c r="K197" s="19">
        <v>45</v>
      </c>
      <c r="L197" s="21">
        <f t="shared" si="48"/>
        <v>45</v>
      </c>
      <c r="M197" s="57">
        <v>30</v>
      </c>
      <c r="N197" s="91">
        <f t="shared" si="53"/>
        <v>75</v>
      </c>
      <c r="O197" s="21">
        <f t="shared" si="50"/>
        <v>99</v>
      </c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8" customHeight="1">
      <c r="A198" s="84"/>
      <c r="B198" s="16">
        <f t="shared" si="49"/>
        <v>190</v>
      </c>
      <c r="C198" s="17" t="s">
        <v>219</v>
      </c>
      <c r="D198" s="24" t="s">
        <v>11</v>
      </c>
      <c r="E198" s="24" t="s">
        <v>8</v>
      </c>
      <c r="F198" s="19">
        <f t="shared" si="51"/>
        <v>0.7</v>
      </c>
      <c r="G198" s="19">
        <v>30</v>
      </c>
      <c r="H198" s="30">
        <f t="shared" si="54"/>
        <v>21</v>
      </c>
      <c r="I198" s="56" t="s">
        <v>11</v>
      </c>
      <c r="J198" s="19">
        <f t="shared" si="52"/>
        <v>0.8</v>
      </c>
      <c r="K198" s="19">
        <v>45</v>
      </c>
      <c r="L198" s="21">
        <f t="shared" si="48"/>
        <v>36</v>
      </c>
      <c r="M198" s="57">
        <v>26</v>
      </c>
      <c r="N198" s="91">
        <f t="shared" si="53"/>
        <v>62</v>
      </c>
      <c r="O198" s="21">
        <f t="shared" si="50"/>
        <v>83</v>
      </c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8" customHeight="1">
      <c r="A199" s="84"/>
      <c r="B199" s="16">
        <f t="shared" si="49"/>
        <v>191</v>
      </c>
      <c r="C199" s="17" t="s">
        <v>220</v>
      </c>
      <c r="D199" s="24" t="s">
        <v>11</v>
      </c>
      <c r="E199" s="24" t="s">
        <v>11</v>
      </c>
      <c r="F199" s="19">
        <f t="shared" si="51"/>
        <v>0.8</v>
      </c>
      <c r="G199" s="19">
        <v>30</v>
      </c>
      <c r="H199" s="30">
        <f t="shared" si="54"/>
        <v>24</v>
      </c>
      <c r="I199" s="56" t="s">
        <v>14</v>
      </c>
      <c r="J199" s="19">
        <f t="shared" si="52"/>
        <v>1</v>
      </c>
      <c r="K199" s="19">
        <v>45</v>
      </c>
      <c r="L199" s="21">
        <f t="shared" si="48"/>
        <v>45</v>
      </c>
      <c r="M199" s="108">
        <v>20</v>
      </c>
      <c r="N199" s="91">
        <f t="shared" si="53"/>
        <v>65</v>
      </c>
      <c r="O199" s="21">
        <f t="shared" si="50"/>
        <v>89</v>
      </c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8" customHeight="1">
      <c r="A200" s="84"/>
      <c r="B200" s="16">
        <f t="shared" si="49"/>
        <v>192</v>
      </c>
      <c r="C200" s="17" t="s">
        <v>221</v>
      </c>
      <c r="D200" s="24" t="s">
        <v>11</v>
      </c>
      <c r="E200" s="24" t="s">
        <v>8</v>
      </c>
      <c r="F200" s="19">
        <f t="shared" si="51"/>
        <v>0.7</v>
      </c>
      <c r="G200" s="19">
        <v>30</v>
      </c>
      <c r="H200" s="30">
        <f t="shared" si="54"/>
        <v>21</v>
      </c>
      <c r="I200" s="56" t="s">
        <v>14</v>
      </c>
      <c r="J200" s="19">
        <f t="shared" si="52"/>
        <v>1</v>
      </c>
      <c r="K200" s="19">
        <v>45</v>
      </c>
      <c r="L200" s="21">
        <f t="shared" ref="L200:L229" si="55">J200*K200</f>
        <v>45</v>
      </c>
      <c r="M200" s="61">
        <v>20</v>
      </c>
      <c r="N200" s="91">
        <f t="shared" si="53"/>
        <v>65</v>
      </c>
      <c r="O200" s="21">
        <f t="shared" si="50"/>
        <v>86</v>
      </c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8" customHeight="1">
      <c r="A201" s="84"/>
      <c r="B201" s="16">
        <f t="shared" si="49"/>
        <v>193</v>
      </c>
      <c r="C201" s="17" t="s">
        <v>222</v>
      </c>
      <c r="D201" s="24" t="s">
        <v>11</v>
      </c>
      <c r="E201" s="24" t="s">
        <v>14</v>
      </c>
      <c r="F201" s="19">
        <f t="shared" si="51"/>
        <v>0.9</v>
      </c>
      <c r="G201" s="19">
        <v>30</v>
      </c>
      <c r="H201" s="30">
        <f t="shared" si="54"/>
        <v>27</v>
      </c>
      <c r="I201" s="56" t="s">
        <v>14</v>
      </c>
      <c r="J201" s="19">
        <f t="shared" si="52"/>
        <v>1</v>
      </c>
      <c r="K201" s="19">
        <v>45</v>
      </c>
      <c r="L201" s="21">
        <f t="shared" si="55"/>
        <v>45</v>
      </c>
      <c r="M201" s="61">
        <v>30</v>
      </c>
      <c r="N201" s="91">
        <f t="shared" si="53"/>
        <v>75</v>
      </c>
      <c r="O201" s="21">
        <f t="shared" si="50"/>
        <v>102</v>
      </c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8" customHeight="1">
      <c r="A202" s="84"/>
      <c r="B202" s="16">
        <f t="shared" si="49"/>
        <v>194</v>
      </c>
      <c r="C202" s="17" t="s">
        <v>223</v>
      </c>
      <c r="D202" s="24" t="s">
        <v>11</v>
      </c>
      <c r="E202" s="24" t="s">
        <v>11</v>
      </c>
      <c r="F202" s="19">
        <f t="shared" si="51"/>
        <v>0.8</v>
      </c>
      <c r="G202" s="19">
        <v>30</v>
      </c>
      <c r="H202" s="30">
        <f t="shared" si="54"/>
        <v>24</v>
      </c>
      <c r="I202" s="56" t="s">
        <v>14</v>
      </c>
      <c r="J202" s="19">
        <f t="shared" si="52"/>
        <v>1</v>
      </c>
      <c r="K202" s="19">
        <v>45</v>
      </c>
      <c r="L202" s="21">
        <f t="shared" si="55"/>
        <v>45</v>
      </c>
      <c r="M202" s="61">
        <v>15</v>
      </c>
      <c r="N202" s="91">
        <f t="shared" si="53"/>
        <v>60</v>
      </c>
      <c r="O202" s="21">
        <f t="shared" si="50"/>
        <v>84</v>
      </c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8" customHeight="1">
      <c r="A203" s="84"/>
      <c r="B203" s="16">
        <f t="shared" si="49"/>
        <v>195</v>
      </c>
      <c r="C203" s="17" t="s">
        <v>224</v>
      </c>
      <c r="D203" s="24" t="s">
        <v>11</v>
      </c>
      <c r="E203" s="24" t="s">
        <v>11</v>
      </c>
      <c r="F203" s="19">
        <f t="shared" si="51"/>
        <v>0.8</v>
      </c>
      <c r="G203" s="19">
        <v>30</v>
      </c>
      <c r="H203" s="30">
        <f t="shared" si="54"/>
        <v>24</v>
      </c>
      <c r="I203" s="56" t="s">
        <v>14</v>
      </c>
      <c r="J203" s="19">
        <f t="shared" si="52"/>
        <v>1</v>
      </c>
      <c r="K203" s="19">
        <v>45</v>
      </c>
      <c r="L203" s="21">
        <f t="shared" si="55"/>
        <v>45</v>
      </c>
      <c r="M203" s="61">
        <v>27</v>
      </c>
      <c r="N203" s="91">
        <f t="shared" si="53"/>
        <v>72</v>
      </c>
      <c r="O203" s="21">
        <f t="shared" si="50"/>
        <v>96</v>
      </c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s="1" customFormat="1" ht="18" customHeight="1">
      <c r="A204" s="97"/>
      <c r="B204" s="16">
        <f t="shared" si="49"/>
        <v>196</v>
      </c>
      <c r="C204" s="76" t="s">
        <v>225</v>
      </c>
      <c r="D204" s="24" t="s">
        <v>6</v>
      </c>
      <c r="E204" s="24" t="s">
        <v>8</v>
      </c>
      <c r="F204" s="29">
        <f t="shared" si="51"/>
        <v>0.3</v>
      </c>
      <c r="G204" s="29">
        <v>30</v>
      </c>
      <c r="H204" s="102">
        <f t="shared" si="54"/>
        <v>9</v>
      </c>
      <c r="I204" s="18" t="s">
        <v>4</v>
      </c>
      <c r="J204" s="29">
        <f t="shared" si="52"/>
        <v>0</v>
      </c>
      <c r="K204" s="29">
        <v>45</v>
      </c>
      <c r="L204" s="69">
        <f t="shared" si="55"/>
        <v>0</v>
      </c>
      <c r="M204" s="67">
        <v>0</v>
      </c>
      <c r="N204" s="91">
        <f t="shared" si="53"/>
        <v>0</v>
      </c>
      <c r="O204" s="69">
        <f t="shared" si="50"/>
        <v>9</v>
      </c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</row>
    <row r="205" spans="1:27" s="4" customFormat="1" ht="18" customHeight="1">
      <c r="A205" s="103"/>
      <c r="B205" s="104">
        <f t="shared" si="49"/>
        <v>197</v>
      </c>
      <c r="C205" s="105" t="s">
        <v>226</v>
      </c>
      <c r="D205" s="24" t="s">
        <v>6</v>
      </c>
      <c r="E205" s="24" t="s">
        <v>6</v>
      </c>
      <c r="F205" s="106">
        <f t="shared" si="51"/>
        <v>0</v>
      </c>
      <c r="G205" s="106">
        <v>30</v>
      </c>
      <c r="H205" s="22">
        <f t="shared" si="54"/>
        <v>0</v>
      </c>
      <c r="I205" s="109" t="s">
        <v>14</v>
      </c>
      <c r="J205" s="106">
        <f t="shared" si="52"/>
        <v>1</v>
      </c>
      <c r="K205" s="106">
        <v>45</v>
      </c>
      <c r="L205" s="106">
        <f t="shared" si="55"/>
        <v>45</v>
      </c>
      <c r="M205" s="110">
        <v>20</v>
      </c>
      <c r="N205" s="111">
        <f t="shared" si="53"/>
        <v>65</v>
      </c>
      <c r="O205" s="106">
        <f t="shared" si="50"/>
        <v>65</v>
      </c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</row>
    <row r="206" spans="1:27" s="4" customFormat="1" ht="18" customHeight="1">
      <c r="A206" s="103"/>
      <c r="B206" s="104">
        <f t="shared" si="49"/>
        <v>198</v>
      </c>
      <c r="C206" s="105" t="s">
        <v>227</v>
      </c>
      <c r="D206" s="24" t="s">
        <v>11</v>
      </c>
      <c r="E206" s="24" t="s">
        <v>6</v>
      </c>
      <c r="F206" s="106">
        <f t="shared" si="51"/>
        <v>0.4</v>
      </c>
      <c r="G206" s="106">
        <v>30</v>
      </c>
      <c r="H206" s="22">
        <f t="shared" si="54"/>
        <v>12</v>
      </c>
      <c r="I206" s="109" t="s">
        <v>11</v>
      </c>
      <c r="J206" s="106">
        <f t="shared" si="52"/>
        <v>0.8</v>
      </c>
      <c r="K206" s="106">
        <v>45</v>
      </c>
      <c r="L206" s="106">
        <f t="shared" si="55"/>
        <v>36</v>
      </c>
      <c r="M206" s="110">
        <v>22</v>
      </c>
      <c r="N206" s="111">
        <f t="shared" si="53"/>
        <v>58</v>
      </c>
      <c r="O206" s="106">
        <f t="shared" si="50"/>
        <v>70</v>
      </c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</row>
    <row r="207" spans="1:27" s="4" customFormat="1" ht="18" customHeight="1">
      <c r="A207" s="103"/>
      <c r="B207" s="104">
        <f t="shared" si="49"/>
        <v>199</v>
      </c>
      <c r="C207" s="105" t="s">
        <v>228</v>
      </c>
      <c r="D207" s="24" t="s">
        <v>11</v>
      </c>
      <c r="E207" s="24" t="s">
        <v>8</v>
      </c>
      <c r="F207" s="106">
        <f t="shared" si="51"/>
        <v>0.7</v>
      </c>
      <c r="G207" s="106">
        <v>30</v>
      </c>
      <c r="H207" s="22">
        <f t="shared" si="54"/>
        <v>21</v>
      </c>
      <c r="I207" s="109" t="s">
        <v>14</v>
      </c>
      <c r="J207" s="106">
        <f t="shared" si="52"/>
        <v>1</v>
      </c>
      <c r="K207" s="106">
        <v>45</v>
      </c>
      <c r="L207" s="106">
        <f t="shared" si="55"/>
        <v>45</v>
      </c>
      <c r="M207" s="110">
        <v>30</v>
      </c>
      <c r="N207" s="111">
        <f t="shared" si="53"/>
        <v>75</v>
      </c>
      <c r="O207" s="106">
        <f t="shared" si="50"/>
        <v>96</v>
      </c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</row>
    <row r="208" spans="1:27" s="4" customFormat="1" ht="18" customHeight="1">
      <c r="A208" s="103"/>
      <c r="B208" s="104">
        <f t="shared" si="49"/>
        <v>200</v>
      </c>
      <c r="C208" s="105" t="s">
        <v>229</v>
      </c>
      <c r="D208" s="24" t="s">
        <v>11</v>
      </c>
      <c r="E208" s="24" t="s">
        <v>11</v>
      </c>
      <c r="F208" s="106">
        <f t="shared" si="51"/>
        <v>0.8</v>
      </c>
      <c r="G208" s="106">
        <v>30</v>
      </c>
      <c r="H208" s="22">
        <f t="shared" si="54"/>
        <v>24</v>
      </c>
      <c r="I208" s="109" t="s">
        <v>14</v>
      </c>
      <c r="J208" s="106">
        <f t="shared" si="52"/>
        <v>1</v>
      </c>
      <c r="K208" s="106">
        <v>45</v>
      </c>
      <c r="L208" s="106">
        <f t="shared" si="55"/>
        <v>45</v>
      </c>
      <c r="M208" s="110">
        <v>22</v>
      </c>
      <c r="N208" s="111">
        <f t="shared" si="53"/>
        <v>67</v>
      </c>
      <c r="O208" s="106">
        <f t="shared" si="50"/>
        <v>91</v>
      </c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</row>
    <row r="209" spans="1:27" s="4" customFormat="1" ht="18" customHeight="1">
      <c r="A209" s="103"/>
      <c r="B209" s="104">
        <f t="shared" si="49"/>
        <v>201</v>
      </c>
      <c r="C209" s="107" t="s">
        <v>230</v>
      </c>
      <c r="D209" s="24" t="s">
        <v>6</v>
      </c>
      <c r="E209" s="24" t="s">
        <v>8</v>
      </c>
      <c r="F209" s="106">
        <f t="shared" ref="F209" si="56">(0.5*(IF(E209="AB",0,(IF(E209="NA",0,(IF(E209="P",0.6,(IF(E209="M",0.8,(IF(E209="D",1,"False Entry")))))))))))+(0.5*(IF(D209="AB",0,(IF(D209="NA",0,(IF(D209="P",0.6,(IF(D209="M",0.8,(IF(D209="D",1,"False Entry")))))))))))</f>
        <v>0.3</v>
      </c>
      <c r="G209" s="106">
        <v>30</v>
      </c>
      <c r="H209" s="22">
        <f t="shared" ref="H209" si="57">ROUNDUP(F209*G209,0)</f>
        <v>9</v>
      </c>
      <c r="I209" s="109" t="s">
        <v>14</v>
      </c>
      <c r="J209" s="106">
        <f t="shared" ref="J209" si="58">(IF(I209="AB",0,IF(I209="NA",0,IF(I209="P",0.6,IF(I209="M",0.8,IF(I209="D",1,"False Entry"))))))</f>
        <v>1</v>
      </c>
      <c r="K209" s="106">
        <v>45</v>
      </c>
      <c r="L209" s="106">
        <f t="shared" ref="L209" si="59">J209*K209</f>
        <v>45</v>
      </c>
      <c r="M209" s="110">
        <v>10</v>
      </c>
      <c r="N209" s="111">
        <f t="shared" ref="N209" si="60">ROUNDUP(M209+L209,0)</f>
        <v>55</v>
      </c>
      <c r="O209" s="106">
        <f t="shared" ref="O209" si="61">H209+N209</f>
        <v>64</v>
      </c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</row>
    <row r="210" spans="1:27" ht="18" customHeight="1">
      <c r="A210" s="84"/>
      <c r="B210" s="16">
        <f t="shared" si="49"/>
        <v>202</v>
      </c>
      <c r="C210" s="17" t="s">
        <v>231</v>
      </c>
      <c r="D210" s="24" t="s">
        <v>11</v>
      </c>
      <c r="E210" s="24" t="s">
        <v>11</v>
      </c>
      <c r="F210" s="19">
        <f t="shared" si="51"/>
        <v>0.8</v>
      </c>
      <c r="G210" s="19">
        <v>30</v>
      </c>
      <c r="H210" s="30">
        <f t="shared" si="54"/>
        <v>24</v>
      </c>
      <c r="I210" s="56" t="s">
        <v>14</v>
      </c>
      <c r="J210" s="19">
        <f t="shared" si="52"/>
        <v>1</v>
      </c>
      <c r="K210" s="19">
        <v>45</v>
      </c>
      <c r="L210" s="21">
        <f t="shared" si="55"/>
        <v>45</v>
      </c>
      <c r="M210" s="61">
        <v>30</v>
      </c>
      <c r="N210" s="91">
        <f t="shared" si="53"/>
        <v>75</v>
      </c>
      <c r="O210" s="21">
        <f t="shared" si="50"/>
        <v>99</v>
      </c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s="4" customFormat="1" ht="18" customHeight="1">
      <c r="A211" s="103"/>
      <c r="B211" s="104">
        <f t="shared" si="49"/>
        <v>203</v>
      </c>
      <c r="C211" s="105" t="s">
        <v>232</v>
      </c>
      <c r="D211" s="24" t="s">
        <v>11</v>
      </c>
      <c r="E211" s="24" t="s">
        <v>8</v>
      </c>
      <c r="F211" s="106">
        <f t="shared" si="51"/>
        <v>0.7</v>
      </c>
      <c r="G211" s="106">
        <v>30</v>
      </c>
      <c r="H211" s="22">
        <f t="shared" si="54"/>
        <v>21</v>
      </c>
      <c r="I211" s="109" t="s">
        <v>11</v>
      </c>
      <c r="J211" s="106">
        <f t="shared" si="52"/>
        <v>0.8</v>
      </c>
      <c r="K211" s="106">
        <v>45</v>
      </c>
      <c r="L211" s="106">
        <f t="shared" si="55"/>
        <v>36</v>
      </c>
      <c r="M211" s="110">
        <v>20</v>
      </c>
      <c r="N211" s="111">
        <f t="shared" si="53"/>
        <v>56</v>
      </c>
      <c r="O211" s="106">
        <f t="shared" si="50"/>
        <v>77</v>
      </c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</row>
    <row r="212" spans="1:27" s="4" customFormat="1" ht="18" customHeight="1">
      <c r="A212" s="103"/>
      <c r="B212" s="104">
        <f t="shared" si="49"/>
        <v>204</v>
      </c>
      <c r="C212" s="105" t="s">
        <v>233</v>
      </c>
      <c r="D212" s="24" t="s">
        <v>11</v>
      </c>
      <c r="E212" s="24" t="s">
        <v>6</v>
      </c>
      <c r="F212" s="106">
        <f t="shared" si="51"/>
        <v>0.4</v>
      </c>
      <c r="G212" s="106">
        <v>30</v>
      </c>
      <c r="H212" s="22">
        <f t="shared" si="54"/>
        <v>12</v>
      </c>
      <c r="I212" s="109" t="s">
        <v>14</v>
      </c>
      <c r="J212" s="106">
        <f t="shared" si="52"/>
        <v>1</v>
      </c>
      <c r="K212" s="106">
        <v>45</v>
      </c>
      <c r="L212" s="106">
        <f t="shared" si="55"/>
        <v>45</v>
      </c>
      <c r="M212" s="110">
        <v>25</v>
      </c>
      <c r="N212" s="111">
        <f t="shared" si="53"/>
        <v>70</v>
      </c>
      <c r="O212" s="106">
        <f t="shared" si="50"/>
        <v>82</v>
      </c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</row>
    <row r="213" spans="1:27" ht="18" customHeight="1">
      <c r="A213" s="84"/>
      <c r="B213" s="16">
        <f t="shared" si="49"/>
        <v>205</v>
      </c>
      <c r="C213" s="17" t="s">
        <v>234</v>
      </c>
      <c r="D213" s="24" t="s">
        <v>11</v>
      </c>
      <c r="E213" s="24" t="s">
        <v>11</v>
      </c>
      <c r="F213" s="19">
        <f t="shared" si="51"/>
        <v>0.8</v>
      </c>
      <c r="G213" s="19">
        <v>30</v>
      </c>
      <c r="H213" s="30">
        <f t="shared" si="54"/>
        <v>24</v>
      </c>
      <c r="I213" s="56" t="s">
        <v>14</v>
      </c>
      <c r="J213" s="19">
        <f t="shared" si="52"/>
        <v>1</v>
      </c>
      <c r="K213" s="19">
        <v>45</v>
      </c>
      <c r="L213" s="21">
        <f t="shared" si="55"/>
        <v>45</v>
      </c>
      <c r="M213" s="61">
        <v>30</v>
      </c>
      <c r="N213" s="91">
        <f t="shared" si="53"/>
        <v>75</v>
      </c>
      <c r="O213" s="21">
        <f t="shared" ref="O213:O247" si="62">H213+N213</f>
        <v>99</v>
      </c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8" customHeight="1">
      <c r="A214" s="84"/>
      <c r="B214" s="16">
        <f t="shared" si="49"/>
        <v>206</v>
      </c>
      <c r="C214" s="17" t="s">
        <v>235</v>
      </c>
      <c r="D214" s="24" t="s">
        <v>11</v>
      </c>
      <c r="E214" s="24" t="s">
        <v>8</v>
      </c>
      <c r="F214" s="19">
        <f t="shared" si="51"/>
        <v>0.7</v>
      </c>
      <c r="G214" s="19">
        <v>30</v>
      </c>
      <c r="H214" s="30">
        <f t="shared" si="54"/>
        <v>21</v>
      </c>
      <c r="I214" s="56" t="s">
        <v>14</v>
      </c>
      <c r="J214" s="19">
        <f t="shared" si="52"/>
        <v>1</v>
      </c>
      <c r="K214" s="19">
        <v>45</v>
      </c>
      <c r="L214" s="21">
        <f t="shared" si="55"/>
        <v>45</v>
      </c>
      <c r="M214" s="61">
        <v>21</v>
      </c>
      <c r="N214" s="91">
        <f t="shared" si="53"/>
        <v>66</v>
      </c>
      <c r="O214" s="21">
        <f t="shared" si="62"/>
        <v>87</v>
      </c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s="4" customFormat="1" ht="18" customHeight="1">
      <c r="A215" s="103"/>
      <c r="B215" s="104">
        <f t="shared" ref="B215:B238" si="63">ROW(B207)</f>
        <v>207</v>
      </c>
      <c r="C215" s="105" t="s">
        <v>236</v>
      </c>
      <c r="D215" s="24" t="s">
        <v>4</v>
      </c>
      <c r="E215" s="24" t="s">
        <v>4</v>
      </c>
      <c r="F215" s="106">
        <f t="shared" si="51"/>
        <v>0</v>
      </c>
      <c r="G215" s="106">
        <v>30</v>
      </c>
      <c r="H215" s="22">
        <f t="shared" si="54"/>
        <v>0</v>
      </c>
      <c r="I215" s="109" t="s">
        <v>4</v>
      </c>
      <c r="J215" s="106">
        <f t="shared" si="52"/>
        <v>0</v>
      </c>
      <c r="K215" s="106">
        <v>45</v>
      </c>
      <c r="L215" s="106">
        <f t="shared" si="55"/>
        <v>0</v>
      </c>
      <c r="M215" s="110">
        <v>0</v>
      </c>
      <c r="N215" s="111">
        <f t="shared" si="53"/>
        <v>0</v>
      </c>
      <c r="O215" s="106">
        <f t="shared" si="62"/>
        <v>0</v>
      </c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</row>
    <row r="216" spans="1:27" ht="18" customHeight="1">
      <c r="A216" s="84"/>
      <c r="B216" s="16">
        <f t="shared" si="63"/>
        <v>208</v>
      </c>
      <c r="C216" s="17" t="s">
        <v>237</v>
      </c>
      <c r="D216" s="24" t="s">
        <v>11</v>
      </c>
      <c r="E216" s="24" t="s">
        <v>8</v>
      </c>
      <c r="F216" s="19">
        <f t="shared" si="51"/>
        <v>0.7</v>
      </c>
      <c r="G216" s="19">
        <v>30</v>
      </c>
      <c r="H216" s="30">
        <f t="shared" si="54"/>
        <v>21</v>
      </c>
      <c r="I216" s="56" t="s">
        <v>14</v>
      </c>
      <c r="J216" s="19">
        <f t="shared" si="52"/>
        <v>1</v>
      </c>
      <c r="K216" s="19">
        <v>45</v>
      </c>
      <c r="L216" s="21">
        <f t="shared" si="55"/>
        <v>45</v>
      </c>
      <c r="M216" s="61">
        <v>20</v>
      </c>
      <c r="N216" s="91">
        <f t="shared" si="53"/>
        <v>65</v>
      </c>
      <c r="O216" s="21">
        <f t="shared" si="62"/>
        <v>86</v>
      </c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8" customHeight="1">
      <c r="A217" s="84"/>
      <c r="B217" s="16">
        <f t="shared" si="63"/>
        <v>209</v>
      </c>
      <c r="C217" s="17" t="s">
        <v>238</v>
      </c>
      <c r="D217" s="24" t="s">
        <v>6</v>
      </c>
      <c r="E217" s="24" t="s">
        <v>6</v>
      </c>
      <c r="F217" s="19">
        <f t="shared" si="51"/>
        <v>0</v>
      </c>
      <c r="G217" s="19">
        <v>30</v>
      </c>
      <c r="H217" s="30">
        <f t="shared" si="54"/>
        <v>0</v>
      </c>
      <c r="I217" s="56" t="s">
        <v>11</v>
      </c>
      <c r="J217" s="19">
        <f t="shared" si="52"/>
        <v>0.8</v>
      </c>
      <c r="K217" s="19">
        <v>45</v>
      </c>
      <c r="L217" s="21">
        <f t="shared" si="55"/>
        <v>36</v>
      </c>
      <c r="M217" s="61">
        <v>30</v>
      </c>
      <c r="N217" s="91">
        <f t="shared" si="53"/>
        <v>66</v>
      </c>
      <c r="O217" s="21">
        <f t="shared" si="62"/>
        <v>66</v>
      </c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8" customHeight="1">
      <c r="A218" s="84"/>
      <c r="B218" s="16">
        <f t="shared" si="63"/>
        <v>210</v>
      </c>
      <c r="C218" s="17" t="s">
        <v>239</v>
      </c>
      <c r="D218" s="24" t="s">
        <v>11</v>
      </c>
      <c r="E218" s="24" t="s">
        <v>6</v>
      </c>
      <c r="F218" s="19">
        <f t="shared" si="51"/>
        <v>0.4</v>
      </c>
      <c r="G218" s="19">
        <v>30</v>
      </c>
      <c r="H218" s="30">
        <f t="shared" si="54"/>
        <v>12</v>
      </c>
      <c r="I218" s="56" t="s">
        <v>14</v>
      </c>
      <c r="J218" s="19">
        <f t="shared" si="52"/>
        <v>1</v>
      </c>
      <c r="K218" s="19">
        <v>45</v>
      </c>
      <c r="L218" s="21">
        <f t="shared" si="55"/>
        <v>45</v>
      </c>
      <c r="M218" s="61">
        <v>10</v>
      </c>
      <c r="N218" s="91">
        <f t="shared" si="53"/>
        <v>55</v>
      </c>
      <c r="O218" s="21">
        <f t="shared" si="62"/>
        <v>67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8" customHeight="1">
      <c r="A219" s="84"/>
      <c r="B219" s="16">
        <f t="shared" si="63"/>
        <v>211</v>
      </c>
      <c r="C219" s="17" t="s">
        <v>240</v>
      </c>
      <c r="D219" s="24" t="s">
        <v>14</v>
      </c>
      <c r="E219" s="24" t="s">
        <v>14</v>
      </c>
      <c r="F219" s="19">
        <f t="shared" si="51"/>
        <v>1</v>
      </c>
      <c r="G219" s="19">
        <v>30</v>
      </c>
      <c r="H219" s="30">
        <f t="shared" si="54"/>
        <v>30</v>
      </c>
      <c r="I219" s="56" t="s">
        <v>14</v>
      </c>
      <c r="J219" s="19">
        <f t="shared" si="52"/>
        <v>1</v>
      </c>
      <c r="K219" s="19">
        <v>45</v>
      </c>
      <c r="L219" s="21">
        <f t="shared" si="55"/>
        <v>45</v>
      </c>
      <c r="M219" s="61">
        <v>30</v>
      </c>
      <c r="N219" s="91">
        <f t="shared" si="53"/>
        <v>75</v>
      </c>
      <c r="O219" s="21">
        <f t="shared" si="62"/>
        <v>105</v>
      </c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8" customHeight="1">
      <c r="A220" s="84"/>
      <c r="B220" s="16">
        <f t="shared" si="63"/>
        <v>212</v>
      </c>
      <c r="C220" s="17" t="s">
        <v>241</v>
      </c>
      <c r="D220" s="24" t="s">
        <v>11</v>
      </c>
      <c r="E220" s="24" t="s">
        <v>14</v>
      </c>
      <c r="F220" s="19">
        <f t="shared" si="51"/>
        <v>0.9</v>
      </c>
      <c r="G220" s="19">
        <v>30</v>
      </c>
      <c r="H220" s="30">
        <f t="shared" si="54"/>
        <v>27</v>
      </c>
      <c r="I220" s="56" t="s">
        <v>14</v>
      </c>
      <c r="J220" s="19">
        <f t="shared" si="52"/>
        <v>1</v>
      </c>
      <c r="K220" s="19">
        <v>45</v>
      </c>
      <c r="L220" s="21">
        <f t="shared" si="55"/>
        <v>45</v>
      </c>
      <c r="M220" s="61">
        <v>30</v>
      </c>
      <c r="N220" s="91">
        <f t="shared" si="53"/>
        <v>75</v>
      </c>
      <c r="O220" s="21">
        <f t="shared" si="62"/>
        <v>102</v>
      </c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s="4" customFormat="1" ht="18" customHeight="1">
      <c r="A221" s="103"/>
      <c r="B221" s="104">
        <f t="shared" si="63"/>
        <v>213</v>
      </c>
      <c r="C221" s="105" t="s">
        <v>242</v>
      </c>
      <c r="D221" s="24" t="s">
        <v>4</v>
      </c>
      <c r="E221" s="24" t="s">
        <v>4</v>
      </c>
      <c r="F221" s="106">
        <f t="shared" si="51"/>
        <v>0</v>
      </c>
      <c r="G221" s="106">
        <v>30</v>
      </c>
      <c r="H221" s="22">
        <f t="shared" si="54"/>
        <v>0</v>
      </c>
      <c r="I221" s="109" t="s">
        <v>4</v>
      </c>
      <c r="J221" s="106">
        <f t="shared" si="52"/>
        <v>0</v>
      </c>
      <c r="K221" s="106">
        <v>45</v>
      </c>
      <c r="L221" s="106">
        <f t="shared" si="55"/>
        <v>0</v>
      </c>
      <c r="M221" s="110">
        <v>0</v>
      </c>
      <c r="N221" s="111">
        <f t="shared" si="53"/>
        <v>0</v>
      </c>
      <c r="O221" s="106">
        <f t="shared" si="62"/>
        <v>0</v>
      </c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</row>
    <row r="222" spans="1:27" s="1" customFormat="1" ht="18" customHeight="1">
      <c r="A222" s="97"/>
      <c r="B222" s="36">
        <f t="shared" si="63"/>
        <v>214</v>
      </c>
      <c r="C222" s="76" t="s">
        <v>243</v>
      </c>
      <c r="D222" s="24" t="s">
        <v>8</v>
      </c>
      <c r="E222" s="24" t="s">
        <v>6</v>
      </c>
      <c r="F222" s="29">
        <f t="shared" si="51"/>
        <v>0.3</v>
      </c>
      <c r="G222" s="29">
        <v>30</v>
      </c>
      <c r="H222" s="30">
        <f t="shared" si="54"/>
        <v>9</v>
      </c>
      <c r="I222" s="18" t="s">
        <v>4</v>
      </c>
      <c r="J222" s="29">
        <f t="shared" si="52"/>
        <v>0</v>
      </c>
      <c r="K222" s="29">
        <v>45</v>
      </c>
      <c r="L222" s="69">
        <f t="shared" si="55"/>
        <v>0</v>
      </c>
      <c r="M222" s="67">
        <v>30</v>
      </c>
      <c r="N222" s="91">
        <f t="shared" si="53"/>
        <v>30</v>
      </c>
      <c r="O222" s="69">
        <f t="shared" si="62"/>
        <v>39</v>
      </c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</row>
    <row r="223" spans="1:27" s="4" customFormat="1" ht="18" customHeight="1">
      <c r="A223" s="103"/>
      <c r="B223" s="104">
        <f t="shared" si="63"/>
        <v>215</v>
      </c>
      <c r="C223" s="105" t="s">
        <v>244</v>
      </c>
      <c r="D223" s="24" t="s">
        <v>8</v>
      </c>
      <c r="E223" s="24" t="s">
        <v>8</v>
      </c>
      <c r="F223" s="106">
        <f t="shared" si="51"/>
        <v>0.6</v>
      </c>
      <c r="G223" s="106">
        <v>30</v>
      </c>
      <c r="H223" s="22">
        <f t="shared" si="54"/>
        <v>18</v>
      </c>
      <c r="I223" s="109" t="s">
        <v>11</v>
      </c>
      <c r="J223" s="106">
        <f t="shared" si="52"/>
        <v>0.8</v>
      </c>
      <c r="K223" s="106">
        <v>45</v>
      </c>
      <c r="L223" s="106">
        <f t="shared" si="55"/>
        <v>36</v>
      </c>
      <c r="M223" s="110">
        <v>25</v>
      </c>
      <c r="N223" s="111">
        <f t="shared" si="53"/>
        <v>61</v>
      </c>
      <c r="O223" s="106">
        <f t="shared" si="62"/>
        <v>79</v>
      </c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</row>
    <row r="224" spans="1:27" s="4" customFormat="1" ht="18" customHeight="1">
      <c r="A224" s="103"/>
      <c r="B224" s="104">
        <f t="shared" si="63"/>
        <v>216</v>
      </c>
      <c r="C224" s="105" t="s">
        <v>245</v>
      </c>
      <c r="D224" s="24" t="s">
        <v>6</v>
      </c>
      <c r="E224" s="24" t="s">
        <v>6</v>
      </c>
      <c r="F224" s="106">
        <f t="shared" si="51"/>
        <v>0</v>
      </c>
      <c r="G224" s="106">
        <v>30</v>
      </c>
      <c r="H224" s="22">
        <f t="shared" si="54"/>
        <v>0</v>
      </c>
      <c r="I224" s="109" t="s">
        <v>4</v>
      </c>
      <c r="J224" s="106">
        <f t="shared" si="52"/>
        <v>0</v>
      </c>
      <c r="K224" s="106">
        <v>45</v>
      </c>
      <c r="L224" s="106">
        <f t="shared" si="55"/>
        <v>0</v>
      </c>
      <c r="M224" s="110">
        <v>0</v>
      </c>
      <c r="N224" s="111">
        <f t="shared" si="53"/>
        <v>0</v>
      </c>
      <c r="O224" s="106">
        <f t="shared" si="62"/>
        <v>0</v>
      </c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</row>
    <row r="225" spans="1:27" ht="18" customHeight="1">
      <c r="A225" s="84"/>
      <c r="B225" s="37">
        <f t="shared" si="63"/>
        <v>217</v>
      </c>
      <c r="C225" s="17" t="s">
        <v>246</v>
      </c>
      <c r="D225" s="24" t="s">
        <v>11</v>
      </c>
      <c r="E225" s="24" t="s">
        <v>8</v>
      </c>
      <c r="F225" s="19">
        <f t="shared" si="51"/>
        <v>0.7</v>
      </c>
      <c r="G225" s="19">
        <v>30</v>
      </c>
      <c r="H225" s="30">
        <f t="shared" si="54"/>
        <v>21</v>
      </c>
      <c r="I225" s="56" t="s">
        <v>14</v>
      </c>
      <c r="J225" s="19">
        <f t="shared" si="52"/>
        <v>1</v>
      </c>
      <c r="K225" s="19">
        <v>45</v>
      </c>
      <c r="L225" s="21">
        <f t="shared" si="55"/>
        <v>45</v>
      </c>
      <c r="M225" s="61">
        <v>20</v>
      </c>
      <c r="N225" s="91">
        <f t="shared" si="53"/>
        <v>65</v>
      </c>
      <c r="O225" s="21">
        <f t="shared" si="62"/>
        <v>86</v>
      </c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s="4" customFormat="1" ht="18" customHeight="1">
      <c r="A226" s="103"/>
      <c r="B226" s="104">
        <f t="shared" si="63"/>
        <v>218</v>
      </c>
      <c r="C226" s="107" t="s">
        <v>247</v>
      </c>
      <c r="D226" s="24" t="s">
        <v>6</v>
      </c>
      <c r="E226" s="24" t="s">
        <v>6</v>
      </c>
      <c r="F226" s="106">
        <f t="shared" ref="F226" si="64">(0.5*(IF(E226="AB",0,(IF(E226="NA",0,(IF(E226="P",0.6,(IF(E226="M",0.8,(IF(E226="D",1,"False Entry")))))))))))+(0.5*(IF(D226="AB",0,(IF(D226="NA",0,(IF(D226="P",0.6,(IF(D226="M",0.8,(IF(D226="D",1,"False Entry")))))))))))</f>
        <v>0</v>
      </c>
      <c r="G226" s="106">
        <v>30</v>
      </c>
      <c r="H226" s="22">
        <f t="shared" ref="H226" si="65">ROUNDUP(F226*G226,0)</f>
        <v>0</v>
      </c>
      <c r="I226" s="109" t="s">
        <v>14</v>
      </c>
      <c r="J226" s="106">
        <f t="shared" ref="J226" si="66">(IF(I226="AB",0,IF(I226="NA",0,IF(I226="P",0.6,IF(I226="M",0.8,IF(I226="D",1,"False Entry"))))))</f>
        <v>1</v>
      </c>
      <c r="K226" s="113">
        <v>45</v>
      </c>
      <c r="L226" s="106">
        <f t="shared" si="55"/>
        <v>45</v>
      </c>
      <c r="M226" s="110">
        <v>10</v>
      </c>
      <c r="N226" s="111">
        <f t="shared" ref="N226" si="67">ROUNDUP(M226+L226,0)</f>
        <v>55</v>
      </c>
      <c r="O226" s="106">
        <f t="shared" ref="O226" si="68">H226+N226</f>
        <v>55</v>
      </c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</row>
    <row r="227" spans="1:27" ht="18" customHeight="1">
      <c r="A227" s="84"/>
      <c r="B227" s="37">
        <f t="shared" si="63"/>
        <v>219</v>
      </c>
      <c r="C227" s="17" t="s">
        <v>248</v>
      </c>
      <c r="D227" s="24" t="s">
        <v>14</v>
      </c>
      <c r="E227" s="24" t="s">
        <v>14</v>
      </c>
      <c r="F227" s="19">
        <f t="shared" si="51"/>
        <v>1</v>
      </c>
      <c r="G227" s="19">
        <v>30</v>
      </c>
      <c r="H227" s="30">
        <f t="shared" si="54"/>
        <v>30</v>
      </c>
      <c r="I227" s="56" t="s">
        <v>14</v>
      </c>
      <c r="J227" s="19">
        <f t="shared" si="52"/>
        <v>1</v>
      </c>
      <c r="K227" s="19">
        <v>45</v>
      </c>
      <c r="L227" s="21">
        <f t="shared" si="55"/>
        <v>45</v>
      </c>
      <c r="M227" s="61">
        <v>30</v>
      </c>
      <c r="N227" s="91">
        <f t="shared" si="53"/>
        <v>75</v>
      </c>
      <c r="O227" s="21">
        <f t="shared" si="62"/>
        <v>105</v>
      </c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18" customHeight="1">
      <c r="A228" s="84"/>
      <c r="B228" s="37">
        <f t="shared" si="63"/>
        <v>220</v>
      </c>
      <c r="C228" s="17" t="s">
        <v>249</v>
      </c>
      <c r="D228" s="24" t="s">
        <v>8</v>
      </c>
      <c r="E228" s="24" t="s">
        <v>8</v>
      </c>
      <c r="F228" s="19">
        <f t="shared" si="51"/>
        <v>0.6</v>
      </c>
      <c r="G228" s="19">
        <v>30</v>
      </c>
      <c r="H228" s="30">
        <f t="shared" si="54"/>
        <v>18</v>
      </c>
      <c r="I228" s="56" t="s">
        <v>14</v>
      </c>
      <c r="J228" s="19">
        <f t="shared" si="52"/>
        <v>1</v>
      </c>
      <c r="K228" s="19">
        <v>45</v>
      </c>
      <c r="L228" s="21">
        <f t="shared" si="55"/>
        <v>45</v>
      </c>
      <c r="M228" s="61">
        <v>22</v>
      </c>
      <c r="N228" s="91">
        <f t="shared" si="53"/>
        <v>67</v>
      </c>
      <c r="O228" s="21">
        <f t="shared" si="62"/>
        <v>85</v>
      </c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18" customHeight="1">
      <c r="A229" s="84"/>
      <c r="B229" s="37">
        <f t="shared" si="63"/>
        <v>221</v>
      </c>
      <c r="C229" s="17" t="s">
        <v>250</v>
      </c>
      <c r="D229" s="24" t="s">
        <v>11</v>
      </c>
      <c r="E229" s="24" t="s">
        <v>11</v>
      </c>
      <c r="F229" s="19">
        <f t="shared" si="51"/>
        <v>0.8</v>
      </c>
      <c r="G229" s="19">
        <v>30</v>
      </c>
      <c r="H229" s="30">
        <f t="shared" si="54"/>
        <v>24</v>
      </c>
      <c r="I229" s="56" t="s">
        <v>14</v>
      </c>
      <c r="J229" s="19">
        <f t="shared" si="52"/>
        <v>1</v>
      </c>
      <c r="K229" s="64">
        <v>45</v>
      </c>
      <c r="L229" s="21">
        <f t="shared" si="55"/>
        <v>45</v>
      </c>
      <c r="M229" s="61">
        <v>30</v>
      </c>
      <c r="N229" s="91">
        <f t="shared" si="53"/>
        <v>75</v>
      </c>
      <c r="O229" s="21">
        <f t="shared" si="62"/>
        <v>99</v>
      </c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18" customHeight="1">
      <c r="A230" s="84"/>
      <c r="B230" s="37">
        <f t="shared" si="63"/>
        <v>222</v>
      </c>
      <c r="C230" s="17" t="s">
        <v>251</v>
      </c>
      <c r="D230" s="24" t="s">
        <v>11</v>
      </c>
      <c r="E230" s="24" t="s">
        <v>6</v>
      </c>
      <c r="F230" s="19">
        <f t="shared" si="51"/>
        <v>0.4</v>
      </c>
      <c r="G230" s="19">
        <v>30</v>
      </c>
      <c r="H230" s="30">
        <f t="shared" si="54"/>
        <v>12</v>
      </c>
      <c r="I230" s="56" t="s">
        <v>14</v>
      </c>
      <c r="J230" s="19">
        <f t="shared" si="52"/>
        <v>1</v>
      </c>
      <c r="K230" s="19">
        <v>45</v>
      </c>
      <c r="L230" s="21">
        <f t="shared" ref="L230:L277" si="69">J230*K230</f>
        <v>45</v>
      </c>
      <c r="M230" s="61">
        <v>20</v>
      </c>
      <c r="N230" s="91">
        <f t="shared" si="53"/>
        <v>65</v>
      </c>
      <c r="O230" s="21">
        <f t="shared" si="62"/>
        <v>77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18" customHeight="1">
      <c r="A231" s="84"/>
      <c r="B231" s="37">
        <f t="shared" si="63"/>
        <v>223</v>
      </c>
      <c r="C231" s="17" t="s">
        <v>252</v>
      </c>
      <c r="D231" s="24" t="s">
        <v>14</v>
      </c>
      <c r="E231" s="24" t="s">
        <v>14</v>
      </c>
      <c r="F231" s="19">
        <f t="shared" si="51"/>
        <v>1</v>
      </c>
      <c r="G231" s="19">
        <v>30</v>
      </c>
      <c r="H231" s="30">
        <f t="shared" si="54"/>
        <v>30</v>
      </c>
      <c r="I231" s="56" t="s">
        <v>14</v>
      </c>
      <c r="J231" s="19">
        <f t="shared" si="52"/>
        <v>1</v>
      </c>
      <c r="K231" s="19">
        <v>45</v>
      </c>
      <c r="L231" s="21">
        <f t="shared" si="69"/>
        <v>45</v>
      </c>
      <c r="M231" s="61">
        <v>20</v>
      </c>
      <c r="N231" s="91">
        <f t="shared" si="53"/>
        <v>65</v>
      </c>
      <c r="O231" s="21">
        <f t="shared" si="62"/>
        <v>95</v>
      </c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s="4" customFormat="1" ht="15.75" customHeight="1">
      <c r="B232" s="104">
        <f t="shared" si="63"/>
        <v>224</v>
      </c>
      <c r="C232" s="105" t="s">
        <v>253</v>
      </c>
      <c r="D232" s="24" t="s">
        <v>6</v>
      </c>
      <c r="E232" s="24" t="s">
        <v>6</v>
      </c>
      <c r="F232" s="106">
        <f t="shared" si="51"/>
        <v>0</v>
      </c>
      <c r="G232" s="106">
        <v>30</v>
      </c>
      <c r="H232" s="22">
        <f t="shared" si="54"/>
        <v>0</v>
      </c>
      <c r="I232" s="109" t="s">
        <v>4</v>
      </c>
      <c r="J232" s="106">
        <f t="shared" si="52"/>
        <v>0</v>
      </c>
      <c r="K232" s="106">
        <v>45</v>
      </c>
      <c r="L232" s="106">
        <f t="shared" si="69"/>
        <v>0</v>
      </c>
      <c r="M232" s="110">
        <v>0</v>
      </c>
      <c r="N232" s="111">
        <f t="shared" si="53"/>
        <v>0</v>
      </c>
      <c r="O232" s="106">
        <f t="shared" si="62"/>
        <v>0</v>
      </c>
    </row>
    <row r="233" spans="1:27" ht="15.75" customHeight="1">
      <c r="B233" s="37">
        <f t="shared" si="63"/>
        <v>225</v>
      </c>
      <c r="C233" s="17" t="s">
        <v>254</v>
      </c>
      <c r="D233" s="24" t="s">
        <v>11</v>
      </c>
      <c r="E233" s="24" t="s">
        <v>6</v>
      </c>
      <c r="F233" s="19">
        <f t="shared" si="51"/>
        <v>0.4</v>
      </c>
      <c r="G233" s="19">
        <v>30</v>
      </c>
      <c r="H233" s="30">
        <f t="shared" si="54"/>
        <v>12</v>
      </c>
      <c r="I233" s="56" t="s">
        <v>11</v>
      </c>
      <c r="J233" s="19">
        <f t="shared" si="52"/>
        <v>0.8</v>
      </c>
      <c r="K233" s="19">
        <v>45</v>
      </c>
      <c r="L233" s="21">
        <f t="shared" si="69"/>
        <v>36</v>
      </c>
      <c r="M233" s="61">
        <v>25</v>
      </c>
      <c r="N233" s="91">
        <f t="shared" si="53"/>
        <v>61</v>
      </c>
      <c r="O233" s="21">
        <f t="shared" si="62"/>
        <v>73</v>
      </c>
    </row>
    <row r="234" spans="1:27" ht="15.75" customHeight="1">
      <c r="B234" s="37">
        <f t="shared" si="63"/>
        <v>226</v>
      </c>
      <c r="C234" s="17" t="s">
        <v>255</v>
      </c>
      <c r="D234" s="24" t="s">
        <v>11</v>
      </c>
      <c r="E234" s="24" t="s">
        <v>14</v>
      </c>
      <c r="F234" s="19">
        <f t="shared" si="51"/>
        <v>0.9</v>
      </c>
      <c r="G234" s="19">
        <v>30</v>
      </c>
      <c r="H234" s="30">
        <f t="shared" si="54"/>
        <v>27</v>
      </c>
      <c r="I234" s="56" t="s">
        <v>11</v>
      </c>
      <c r="J234" s="19">
        <f t="shared" si="52"/>
        <v>0.8</v>
      </c>
      <c r="K234" s="19">
        <v>45</v>
      </c>
      <c r="L234" s="21">
        <f t="shared" si="69"/>
        <v>36</v>
      </c>
      <c r="M234" s="61">
        <v>22</v>
      </c>
      <c r="N234" s="91">
        <f t="shared" si="53"/>
        <v>58</v>
      </c>
      <c r="O234" s="21">
        <f t="shared" si="62"/>
        <v>85</v>
      </c>
    </row>
    <row r="235" spans="1:27" ht="15.75" customHeight="1">
      <c r="B235" s="37">
        <f t="shared" si="63"/>
        <v>227</v>
      </c>
      <c r="C235" s="17" t="s">
        <v>256</v>
      </c>
      <c r="D235" s="24" t="s">
        <v>6</v>
      </c>
      <c r="E235" s="24" t="s">
        <v>11</v>
      </c>
      <c r="F235" s="19">
        <f t="shared" si="51"/>
        <v>0.4</v>
      </c>
      <c r="G235" s="19">
        <v>30</v>
      </c>
      <c r="H235" s="30">
        <f t="shared" si="54"/>
        <v>12</v>
      </c>
      <c r="I235" s="56" t="s">
        <v>11</v>
      </c>
      <c r="J235" s="19">
        <f t="shared" si="52"/>
        <v>0.8</v>
      </c>
      <c r="K235" s="19">
        <v>45</v>
      </c>
      <c r="L235" s="21">
        <f t="shared" si="69"/>
        <v>36</v>
      </c>
      <c r="M235" s="61">
        <v>20</v>
      </c>
      <c r="N235" s="91">
        <f t="shared" si="53"/>
        <v>56</v>
      </c>
      <c r="O235" s="21">
        <f t="shared" si="62"/>
        <v>68</v>
      </c>
    </row>
    <row r="236" spans="1:27" s="4" customFormat="1" ht="15.75" customHeight="1">
      <c r="B236" s="104">
        <f t="shared" si="63"/>
        <v>228</v>
      </c>
      <c r="C236" s="105" t="s">
        <v>257</v>
      </c>
      <c r="D236" s="24" t="s">
        <v>11</v>
      </c>
      <c r="E236" s="24" t="s">
        <v>6</v>
      </c>
      <c r="F236" s="106">
        <f t="shared" si="51"/>
        <v>0.4</v>
      </c>
      <c r="G236" s="106">
        <v>30</v>
      </c>
      <c r="H236" s="22">
        <f t="shared" si="54"/>
        <v>12</v>
      </c>
      <c r="I236" s="109" t="s">
        <v>11</v>
      </c>
      <c r="J236" s="106">
        <f t="shared" si="52"/>
        <v>0.8</v>
      </c>
      <c r="K236" s="106">
        <v>45</v>
      </c>
      <c r="L236" s="106">
        <f t="shared" si="69"/>
        <v>36</v>
      </c>
      <c r="M236" s="110">
        <v>20</v>
      </c>
      <c r="N236" s="111">
        <f t="shared" si="53"/>
        <v>56</v>
      </c>
      <c r="O236" s="106">
        <f t="shared" si="62"/>
        <v>68</v>
      </c>
    </row>
    <row r="237" spans="1:27" s="4" customFormat="1" ht="15.75" customHeight="1">
      <c r="B237" s="104">
        <f t="shared" si="63"/>
        <v>229</v>
      </c>
      <c r="C237" s="107" t="s">
        <v>258</v>
      </c>
      <c r="D237" s="24" t="s">
        <v>11</v>
      </c>
      <c r="E237" s="24" t="s">
        <v>11</v>
      </c>
      <c r="F237" s="106">
        <f t="shared" ref="F237" si="70">(0.5*(IF(E237="AB",0,(IF(E237="NA",0,(IF(E237="P",0.6,(IF(E237="M",0.8,(IF(E237="D",1,"False Entry")))))))))))+(0.5*(IF(D237="AB",0,(IF(D237="NA",0,(IF(D237="P",0.6,(IF(D237="M",0.8,(IF(D237="D",1,"False Entry")))))))))))</f>
        <v>0.8</v>
      </c>
      <c r="G237" s="106">
        <v>30</v>
      </c>
      <c r="H237" s="22">
        <f t="shared" ref="H237" si="71">ROUNDUP(F237*G237,0)</f>
        <v>24</v>
      </c>
      <c r="I237" s="109" t="s">
        <v>14</v>
      </c>
      <c r="J237" s="106">
        <f t="shared" ref="J237" si="72">(IF(I237="AB",0,IF(I237="NA",0,IF(I237="P",0.6,IF(I237="M",0.8,IF(I237="D",1,"False Entry"))))))</f>
        <v>1</v>
      </c>
      <c r="K237" s="106">
        <v>45</v>
      </c>
      <c r="L237" s="106">
        <f t="shared" ref="L237" si="73">J237*K237</f>
        <v>45</v>
      </c>
      <c r="M237" s="110">
        <v>25</v>
      </c>
      <c r="N237" s="111">
        <f t="shared" ref="N237" si="74">ROUNDUP(M237+L237,0)</f>
        <v>70</v>
      </c>
      <c r="O237" s="106">
        <f t="shared" ref="O237" si="75">H237+N237</f>
        <v>94</v>
      </c>
    </row>
    <row r="238" spans="1:27" ht="15.75" customHeight="1">
      <c r="B238" s="37">
        <f t="shared" si="63"/>
        <v>230</v>
      </c>
      <c r="C238" s="17" t="s">
        <v>259</v>
      </c>
      <c r="D238" s="24" t="s">
        <v>14</v>
      </c>
      <c r="E238" s="24" t="s">
        <v>14</v>
      </c>
      <c r="F238" s="19">
        <f t="shared" si="51"/>
        <v>1</v>
      </c>
      <c r="G238" s="19">
        <v>30</v>
      </c>
      <c r="H238" s="30">
        <f t="shared" si="54"/>
        <v>30</v>
      </c>
      <c r="I238" s="56" t="s">
        <v>11</v>
      </c>
      <c r="J238" s="19">
        <f t="shared" si="52"/>
        <v>0.8</v>
      </c>
      <c r="K238" s="19">
        <v>45</v>
      </c>
      <c r="L238" s="21">
        <f t="shared" si="69"/>
        <v>36</v>
      </c>
      <c r="M238" s="61">
        <v>22</v>
      </c>
      <c r="N238" s="91">
        <f t="shared" si="53"/>
        <v>58</v>
      </c>
      <c r="O238" s="21">
        <f t="shared" si="62"/>
        <v>88</v>
      </c>
    </row>
    <row r="239" spans="1:27" s="4" customFormat="1" ht="15.75" customHeight="1">
      <c r="B239" s="104">
        <f t="shared" ref="B239:B313" si="76">ROW(B231)</f>
        <v>231</v>
      </c>
      <c r="C239" s="105" t="s">
        <v>260</v>
      </c>
      <c r="D239" s="24" t="s">
        <v>4</v>
      </c>
      <c r="E239" s="24" t="s">
        <v>4</v>
      </c>
      <c r="F239" s="106">
        <f t="shared" si="51"/>
        <v>0</v>
      </c>
      <c r="G239" s="106">
        <v>30</v>
      </c>
      <c r="H239" s="22">
        <f t="shared" si="54"/>
        <v>0</v>
      </c>
      <c r="I239" s="109" t="s">
        <v>4</v>
      </c>
      <c r="J239" s="106">
        <f t="shared" si="52"/>
        <v>0</v>
      </c>
      <c r="K239" s="106">
        <v>45</v>
      </c>
      <c r="L239" s="106">
        <f t="shared" si="69"/>
        <v>0</v>
      </c>
      <c r="M239" s="110">
        <v>0</v>
      </c>
      <c r="N239" s="111">
        <f t="shared" si="53"/>
        <v>0</v>
      </c>
      <c r="O239" s="106">
        <f t="shared" si="62"/>
        <v>0</v>
      </c>
    </row>
    <row r="240" spans="1:27" ht="15.75" customHeight="1">
      <c r="B240" s="37">
        <f t="shared" si="76"/>
        <v>232</v>
      </c>
      <c r="C240" s="17" t="s">
        <v>261</v>
      </c>
      <c r="D240" s="24" t="s">
        <v>6</v>
      </c>
      <c r="E240" s="24" t="s">
        <v>8</v>
      </c>
      <c r="F240" s="19">
        <f t="shared" si="51"/>
        <v>0.3</v>
      </c>
      <c r="G240" s="19">
        <v>30</v>
      </c>
      <c r="H240" s="30">
        <f t="shared" si="54"/>
        <v>9</v>
      </c>
      <c r="I240" s="56" t="s">
        <v>14</v>
      </c>
      <c r="J240" s="19">
        <f t="shared" si="52"/>
        <v>1</v>
      </c>
      <c r="K240" s="19">
        <v>45</v>
      </c>
      <c r="L240" s="21">
        <f t="shared" si="69"/>
        <v>45</v>
      </c>
      <c r="M240" s="61">
        <v>22</v>
      </c>
      <c r="N240" s="91">
        <f t="shared" si="53"/>
        <v>67</v>
      </c>
      <c r="O240" s="21">
        <f t="shared" si="62"/>
        <v>76</v>
      </c>
    </row>
    <row r="241" spans="2:15" ht="15.75" customHeight="1">
      <c r="B241" s="37">
        <f t="shared" si="76"/>
        <v>233</v>
      </c>
      <c r="C241" s="17" t="s">
        <v>262</v>
      </c>
      <c r="D241" s="24" t="s">
        <v>11</v>
      </c>
      <c r="E241" s="24" t="s">
        <v>8</v>
      </c>
      <c r="F241" s="19">
        <f t="shared" si="51"/>
        <v>0.7</v>
      </c>
      <c r="G241" s="19">
        <v>30</v>
      </c>
      <c r="H241" s="30">
        <f t="shared" si="54"/>
        <v>21</v>
      </c>
      <c r="I241" s="56" t="s">
        <v>14</v>
      </c>
      <c r="J241" s="19">
        <f t="shared" si="52"/>
        <v>1</v>
      </c>
      <c r="K241" s="19">
        <v>45</v>
      </c>
      <c r="L241" s="21">
        <f t="shared" si="69"/>
        <v>45</v>
      </c>
      <c r="M241" s="61">
        <v>30</v>
      </c>
      <c r="N241" s="91">
        <f t="shared" si="53"/>
        <v>75</v>
      </c>
      <c r="O241" s="21">
        <f t="shared" si="62"/>
        <v>96</v>
      </c>
    </row>
    <row r="242" spans="2:15" ht="15.75" customHeight="1">
      <c r="B242" s="37">
        <f t="shared" si="76"/>
        <v>234</v>
      </c>
      <c r="C242" s="17" t="s">
        <v>263</v>
      </c>
      <c r="D242" s="24" t="s">
        <v>11</v>
      </c>
      <c r="E242" s="24" t="s">
        <v>14</v>
      </c>
      <c r="F242" s="19">
        <f t="shared" si="51"/>
        <v>0.9</v>
      </c>
      <c r="G242" s="19">
        <v>30</v>
      </c>
      <c r="H242" s="30">
        <f t="shared" si="54"/>
        <v>27</v>
      </c>
      <c r="I242" s="56" t="s">
        <v>14</v>
      </c>
      <c r="J242" s="19">
        <f t="shared" si="52"/>
        <v>1</v>
      </c>
      <c r="K242" s="19">
        <v>45</v>
      </c>
      <c r="L242" s="21">
        <f t="shared" si="69"/>
        <v>45</v>
      </c>
      <c r="M242" s="61">
        <v>30</v>
      </c>
      <c r="N242" s="91">
        <f t="shared" si="53"/>
        <v>75</v>
      </c>
      <c r="O242" s="21">
        <f t="shared" si="62"/>
        <v>102</v>
      </c>
    </row>
    <row r="243" spans="2:15" s="4" customFormat="1" ht="15.75" customHeight="1">
      <c r="B243" s="104">
        <f t="shared" si="76"/>
        <v>235</v>
      </c>
      <c r="C243" s="105" t="s">
        <v>264</v>
      </c>
      <c r="D243" s="24" t="s">
        <v>11</v>
      </c>
      <c r="E243" s="24" t="s">
        <v>6</v>
      </c>
      <c r="F243" s="106">
        <f t="shared" si="51"/>
        <v>0.4</v>
      </c>
      <c r="G243" s="106">
        <v>30</v>
      </c>
      <c r="H243" s="22">
        <f t="shared" si="54"/>
        <v>12</v>
      </c>
      <c r="I243" s="109" t="s">
        <v>11</v>
      </c>
      <c r="J243" s="106">
        <f t="shared" si="52"/>
        <v>0.8</v>
      </c>
      <c r="K243" s="106">
        <v>45</v>
      </c>
      <c r="L243" s="106">
        <f t="shared" si="69"/>
        <v>36</v>
      </c>
      <c r="M243" s="110">
        <v>20</v>
      </c>
      <c r="N243" s="111">
        <f t="shared" si="53"/>
        <v>56</v>
      </c>
      <c r="O243" s="106">
        <f t="shared" si="62"/>
        <v>68</v>
      </c>
    </row>
    <row r="244" spans="2:15" ht="15.75" customHeight="1">
      <c r="B244" s="37">
        <f t="shared" si="76"/>
        <v>236</v>
      </c>
      <c r="C244" s="17" t="s">
        <v>265</v>
      </c>
      <c r="D244" s="24" t="s">
        <v>11</v>
      </c>
      <c r="E244" s="24" t="s">
        <v>14</v>
      </c>
      <c r="F244" s="19">
        <f t="shared" si="51"/>
        <v>0.9</v>
      </c>
      <c r="G244" s="19">
        <v>30</v>
      </c>
      <c r="H244" s="30">
        <f t="shared" si="54"/>
        <v>27</v>
      </c>
      <c r="I244" s="56" t="s">
        <v>14</v>
      </c>
      <c r="J244" s="19">
        <f t="shared" si="52"/>
        <v>1</v>
      </c>
      <c r="K244" s="19">
        <v>45</v>
      </c>
      <c r="L244" s="21">
        <f t="shared" si="69"/>
        <v>45</v>
      </c>
      <c r="M244" s="61">
        <v>22</v>
      </c>
      <c r="N244" s="91">
        <f t="shared" si="53"/>
        <v>67</v>
      </c>
      <c r="O244" s="21">
        <f t="shared" si="62"/>
        <v>94</v>
      </c>
    </row>
    <row r="245" spans="2:15" ht="15.75" customHeight="1">
      <c r="B245" s="37">
        <f t="shared" si="76"/>
        <v>237</v>
      </c>
      <c r="C245" s="17" t="s">
        <v>266</v>
      </c>
      <c r="D245" s="24" t="s">
        <v>14</v>
      </c>
      <c r="E245" s="24" t="s">
        <v>14</v>
      </c>
      <c r="F245" s="19">
        <f t="shared" si="51"/>
        <v>1</v>
      </c>
      <c r="G245" s="19">
        <v>30</v>
      </c>
      <c r="H245" s="30">
        <f t="shared" si="54"/>
        <v>30</v>
      </c>
      <c r="I245" s="56" t="s">
        <v>14</v>
      </c>
      <c r="J245" s="19">
        <f t="shared" si="52"/>
        <v>1</v>
      </c>
      <c r="K245" s="19">
        <v>45</v>
      </c>
      <c r="L245" s="21">
        <f t="shared" si="69"/>
        <v>45</v>
      </c>
      <c r="M245" s="61">
        <v>30</v>
      </c>
      <c r="N245" s="91">
        <f t="shared" si="53"/>
        <v>75</v>
      </c>
      <c r="O245" s="21">
        <f t="shared" si="62"/>
        <v>105</v>
      </c>
    </row>
    <row r="246" spans="2:15" ht="15.75" customHeight="1">
      <c r="B246" s="37">
        <f t="shared" si="76"/>
        <v>238</v>
      </c>
      <c r="C246" s="17" t="s">
        <v>267</v>
      </c>
      <c r="D246" s="24" t="s">
        <v>11</v>
      </c>
      <c r="E246" s="24" t="s">
        <v>14</v>
      </c>
      <c r="F246" s="19">
        <f t="shared" si="51"/>
        <v>0.9</v>
      </c>
      <c r="G246" s="19">
        <v>30</v>
      </c>
      <c r="H246" s="30">
        <f t="shared" si="54"/>
        <v>27</v>
      </c>
      <c r="I246" s="56" t="s">
        <v>14</v>
      </c>
      <c r="J246" s="19">
        <f t="shared" si="52"/>
        <v>1</v>
      </c>
      <c r="K246" s="21">
        <v>45</v>
      </c>
      <c r="L246" s="21">
        <f t="shared" si="69"/>
        <v>45</v>
      </c>
      <c r="M246" s="61">
        <v>30</v>
      </c>
      <c r="N246" s="91">
        <f t="shared" si="53"/>
        <v>75</v>
      </c>
      <c r="O246" s="21">
        <f t="shared" si="62"/>
        <v>102</v>
      </c>
    </row>
    <row r="247" spans="2:15" ht="15.75" customHeight="1">
      <c r="B247" s="37">
        <f t="shared" si="76"/>
        <v>239</v>
      </c>
      <c r="C247" s="17" t="s">
        <v>268</v>
      </c>
      <c r="D247" s="24" t="s">
        <v>11</v>
      </c>
      <c r="E247" s="24" t="s">
        <v>8</v>
      </c>
      <c r="F247" s="19">
        <f t="shared" si="51"/>
        <v>0.7</v>
      </c>
      <c r="G247" s="19">
        <v>30</v>
      </c>
      <c r="H247" s="30">
        <f t="shared" si="54"/>
        <v>21</v>
      </c>
      <c r="I247" s="56" t="s">
        <v>14</v>
      </c>
      <c r="J247" s="19">
        <f t="shared" si="52"/>
        <v>1</v>
      </c>
      <c r="K247" s="21">
        <v>45</v>
      </c>
      <c r="L247" s="21">
        <f t="shared" si="69"/>
        <v>45</v>
      </c>
      <c r="M247" s="61">
        <v>30</v>
      </c>
      <c r="N247" s="91">
        <f t="shared" si="53"/>
        <v>75</v>
      </c>
      <c r="O247" s="21">
        <f t="shared" si="62"/>
        <v>96</v>
      </c>
    </row>
    <row r="248" spans="2:15" ht="15.75" customHeight="1">
      <c r="B248" s="37">
        <f t="shared" si="76"/>
        <v>240</v>
      </c>
      <c r="C248" s="17" t="s">
        <v>269</v>
      </c>
      <c r="D248" s="24" t="s">
        <v>11</v>
      </c>
      <c r="E248" s="24" t="s">
        <v>11</v>
      </c>
      <c r="F248" s="19">
        <f t="shared" si="51"/>
        <v>0.8</v>
      </c>
      <c r="G248" s="19">
        <v>30</v>
      </c>
      <c r="H248" s="30">
        <f t="shared" si="54"/>
        <v>24</v>
      </c>
      <c r="I248" s="56" t="s">
        <v>14</v>
      </c>
      <c r="J248" s="19">
        <f t="shared" si="52"/>
        <v>1</v>
      </c>
      <c r="K248" s="19">
        <v>45</v>
      </c>
      <c r="L248" s="21">
        <f t="shared" si="69"/>
        <v>45</v>
      </c>
      <c r="M248" s="61">
        <v>26</v>
      </c>
      <c r="N248" s="91">
        <f t="shared" si="53"/>
        <v>71</v>
      </c>
      <c r="O248" s="21">
        <f t="shared" ref="O248:O277" si="77">H248+N248</f>
        <v>95</v>
      </c>
    </row>
    <row r="249" spans="2:15" ht="15.75" customHeight="1">
      <c r="B249" s="37">
        <f t="shared" si="76"/>
        <v>241</v>
      </c>
      <c r="C249" s="17" t="s">
        <v>270</v>
      </c>
      <c r="D249" s="24" t="s">
        <v>11</v>
      </c>
      <c r="E249" s="24" t="s">
        <v>8</v>
      </c>
      <c r="F249" s="19">
        <f t="shared" ref="F249:F296" si="78">(0.5*(IF(E249="AB",0,(IF(E249="NA",0,(IF(E249="P",0.6,(IF(E249="M",0.8,(IF(E249="D",1,"False Entry")))))))))))+(0.5*(IF(D249="AB",0,(IF(D249="NA",0,(IF(D249="P",0.6,(IF(D249="M",0.8,(IF(D249="D",1,"False Entry")))))))))))</f>
        <v>0.7</v>
      </c>
      <c r="G249" s="19">
        <v>30</v>
      </c>
      <c r="H249" s="30">
        <f t="shared" si="54"/>
        <v>21</v>
      </c>
      <c r="I249" s="56" t="s">
        <v>14</v>
      </c>
      <c r="J249" s="19">
        <f t="shared" ref="J249:J296" si="79">(IF(I249="AB",0,IF(I249="NA",0,IF(I249="P",0.6,IF(I249="M",0.8,IF(I249="D",1,"False Entry"))))))</f>
        <v>1</v>
      </c>
      <c r="K249" s="19">
        <v>45</v>
      </c>
      <c r="L249" s="21">
        <f t="shared" si="69"/>
        <v>45</v>
      </c>
      <c r="M249" s="61">
        <v>30</v>
      </c>
      <c r="N249" s="91">
        <f t="shared" ref="N249:N296" si="80">ROUNDUP(M249+L249,0)</f>
        <v>75</v>
      </c>
      <c r="O249" s="21">
        <f t="shared" si="77"/>
        <v>96</v>
      </c>
    </row>
    <row r="250" spans="2:15" ht="15.75" customHeight="1">
      <c r="B250" s="37">
        <f t="shared" si="76"/>
        <v>242</v>
      </c>
      <c r="C250" s="17" t="s">
        <v>271</v>
      </c>
      <c r="D250" s="24" t="s">
        <v>11</v>
      </c>
      <c r="E250" s="24" t="s">
        <v>8</v>
      </c>
      <c r="F250" s="19">
        <f t="shared" si="78"/>
        <v>0.7</v>
      </c>
      <c r="G250" s="19">
        <v>30</v>
      </c>
      <c r="H250" s="30">
        <f t="shared" si="54"/>
        <v>21</v>
      </c>
      <c r="I250" s="56" t="s">
        <v>14</v>
      </c>
      <c r="J250" s="19">
        <f t="shared" si="79"/>
        <v>1</v>
      </c>
      <c r="K250" s="19">
        <v>45</v>
      </c>
      <c r="L250" s="21">
        <f t="shared" si="69"/>
        <v>45</v>
      </c>
      <c r="M250" s="61">
        <v>22</v>
      </c>
      <c r="N250" s="91">
        <f t="shared" si="80"/>
        <v>67</v>
      </c>
      <c r="O250" s="21">
        <f t="shared" si="77"/>
        <v>88</v>
      </c>
    </row>
    <row r="251" spans="2:15" s="4" customFormat="1" ht="15.75" customHeight="1">
      <c r="B251" s="104">
        <f t="shared" si="76"/>
        <v>243</v>
      </c>
      <c r="C251" s="105" t="s">
        <v>272</v>
      </c>
      <c r="D251" s="24" t="s">
        <v>6</v>
      </c>
      <c r="E251" s="24" t="s">
        <v>6</v>
      </c>
      <c r="F251" s="106">
        <f t="shared" ref="F251:F252" si="81">(0.5*(IF(E251="AB",0,(IF(E251="NA",0,(IF(E251="P",0.6,(IF(E251="M",0.8,(IF(E251="D",1,"False Entry")))))))))))+(0.5*(IF(D251="AB",0,(IF(D251="NA",0,(IF(D251="P",0.6,(IF(D251="M",0.8,(IF(D251="D",1,"False Entry")))))))))))</f>
        <v>0</v>
      </c>
      <c r="G251" s="106">
        <v>30</v>
      </c>
      <c r="H251" s="22">
        <f t="shared" ref="H251:H252" si="82">ROUNDUP(F251*G251,0)</f>
        <v>0</v>
      </c>
      <c r="I251" s="109" t="s">
        <v>11</v>
      </c>
      <c r="J251" s="106">
        <f t="shared" ref="J251:J252" si="83">(IF(I251="AB",0,IF(I251="NA",0,IF(I251="P",0.6,IF(I251="M",0.8,IF(I251="D",1,"False Entry"))))))</f>
        <v>0.8</v>
      </c>
      <c r="K251" s="106">
        <v>45</v>
      </c>
      <c r="L251" s="106">
        <f t="shared" ref="L251:L252" si="84">J251*K251</f>
        <v>36</v>
      </c>
      <c r="M251" s="110">
        <v>10</v>
      </c>
      <c r="N251" s="111">
        <f t="shared" ref="N251:N252" si="85">ROUNDUP(M251+L251,0)</f>
        <v>46</v>
      </c>
      <c r="O251" s="106">
        <f t="shared" ref="O251:O252" si="86">H251+N251</f>
        <v>46</v>
      </c>
    </row>
    <row r="252" spans="2:15" s="4" customFormat="1" ht="15.75" customHeight="1">
      <c r="B252" s="104">
        <f t="shared" si="76"/>
        <v>244</v>
      </c>
      <c r="C252" s="105" t="s">
        <v>273</v>
      </c>
      <c r="D252" s="24" t="s">
        <v>4</v>
      </c>
      <c r="E252" s="24" t="s">
        <v>4</v>
      </c>
      <c r="F252" s="106">
        <f t="shared" si="81"/>
        <v>0</v>
      </c>
      <c r="G252" s="106">
        <v>30</v>
      </c>
      <c r="H252" s="22">
        <f t="shared" si="82"/>
        <v>0</v>
      </c>
      <c r="I252" s="109" t="s">
        <v>4</v>
      </c>
      <c r="J252" s="106">
        <f t="shared" si="83"/>
        <v>0</v>
      </c>
      <c r="K252" s="106">
        <v>45</v>
      </c>
      <c r="L252" s="106">
        <f t="shared" si="84"/>
        <v>0</v>
      </c>
      <c r="M252" s="110">
        <v>0</v>
      </c>
      <c r="N252" s="111">
        <f t="shared" si="85"/>
        <v>0</v>
      </c>
      <c r="O252" s="106">
        <f t="shared" si="86"/>
        <v>0</v>
      </c>
    </row>
    <row r="253" spans="2:15" ht="15.75" customHeight="1">
      <c r="B253" s="37">
        <f t="shared" si="76"/>
        <v>245</v>
      </c>
      <c r="C253" s="17" t="s">
        <v>274</v>
      </c>
      <c r="D253" s="24" t="s">
        <v>11</v>
      </c>
      <c r="E253" s="24" t="s">
        <v>8</v>
      </c>
      <c r="F253" s="19">
        <f t="shared" si="78"/>
        <v>0.7</v>
      </c>
      <c r="G253" s="19">
        <v>30</v>
      </c>
      <c r="H253" s="30">
        <f t="shared" si="54"/>
        <v>21</v>
      </c>
      <c r="I253" s="56" t="s">
        <v>11</v>
      </c>
      <c r="J253" s="19">
        <f t="shared" si="79"/>
        <v>0.8</v>
      </c>
      <c r="K253" s="19">
        <v>45</v>
      </c>
      <c r="L253" s="21">
        <f t="shared" si="69"/>
        <v>36</v>
      </c>
      <c r="M253" s="61">
        <v>17</v>
      </c>
      <c r="N253" s="91">
        <f t="shared" si="80"/>
        <v>53</v>
      </c>
      <c r="O253" s="21">
        <f t="shared" si="77"/>
        <v>74</v>
      </c>
    </row>
    <row r="254" spans="2:15" ht="15.75" customHeight="1">
      <c r="B254" s="37">
        <f t="shared" si="76"/>
        <v>246</v>
      </c>
      <c r="C254" s="17" t="s">
        <v>275</v>
      </c>
      <c r="D254" s="24" t="s">
        <v>11</v>
      </c>
      <c r="E254" s="24" t="s">
        <v>8</v>
      </c>
      <c r="F254" s="19">
        <f t="shared" si="78"/>
        <v>0.7</v>
      </c>
      <c r="G254" s="19">
        <v>30</v>
      </c>
      <c r="H254" s="30">
        <f t="shared" si="54"/>
        <v>21</v>
      </c>
      <c r="I254" s="56" t="s">
        <v>14</v>
      </c>
      <c r="J254" s="19">
        <f t="shared" si="79"/>
        <v>1</v>
      </c>
      <c r="K254" s="19">
        <v>45</v>
      </c>
      <c r="L254" s="21">
        <f t="shared" si="69"/>
        <v>45</v>
      </c>
      <c r="M254" s="61">
        <v>30</v>
      </c>
      <c r="N254" s="91">
        <f t="shared" si="80"/>
        <v>75</v>
      </c>
      <c r="O254" s="21">
        <f t="shared" si="77"/>
        <v>96</v>
      </c>
    </row>
    <row r="255" spans="2:15" ht="15.75" customHeight="1">
      <c r="B255" s="37">
        <f t="shared" si="76"/>
        <v>247</v>
      </c>
      <c r="C255" s="17" t="s">
        <v>276</v>
      </c>
      <c r="D255" s="24" t="s">
        <v>8</v>
      </c>
      <c r="E255" s="24" t="s">
        <v>6</v>
      </c>
      <c r="F255" s="19">
        <f t="shared" si="78"/>
        <v>0.3</v>
      </c>
      <c r="G255" s="19">
        <v>30</v>
      </c>
      <c r="H255" s="30">
        <f t="shared" ref="H255:H296" si="87">ROUNDUP(F255*G255,0)</f>
        <v>9</v>
      </c>
      <c r="I255" s="56" t="s">
        <v>14</v>
      </c>
      <c r="J255" s="19">
        <f t="shared" si="79"/>
        <v>1</v>
      </c>
      <c r="K255" s="19">
        <v>45</v>
      </c>
      <c r="L255" s="21">
        <f t="shared" si="69"/>
        <v>45</v>
      </c>
      <c r="M255" s="61">
        <v>25</v>
      </c>
      <c r="N255" s="91">
        <f t="shared" si="80"/>
        <v>70</v>
      </c>
      <c r="O255" s="21">
        <f t="shared" si="77"/>
        <v>79</v>
      </c>
    </row>
    <row r="256" spans="2:15" ht="15.75" customHeight="1">
      <c r="B256" s="37">
        <f t="shared" si="76"/>
        <v>248</v>
      </c>
      <c r="C256" s="17" t="s">
        <v>277</v>
      </c>
      <c r="D256" s="24" t="s">
        <v>14</v>
      </c>
      <c r="E256" s="24" t="s">
        <v>11</v>
      </c>
      <c r="F256" s="19">
        <f t="shared" si="78"/>
        <v>0.9</v>
      </c>
      <c r="G256" s="19">
        <v>30</v>
      </c>
      <c r="H256" s="30">
        <f t="shared" si="87"/>
        <v>27</v>
      </c>
      <c r="I256" s="56" t="s">
        <v>14</v>
      </c>
      <c r="J256" s="19">
        <f t="shared" si="79"/>
        <v>1</v>
      </c>
      <c r="K256" s="19">
        <v>45</v>
      </c>
      <c r="L256" s="21">
        <f t="shared" si="69"/>
        <v>45</v>
      </c>
      <c r="M256" s="61">
        <v>30</v>
      </c>
      <c r="N256" s="91">
        <f t="shared" si="80"/>
        <v>75</v>
      </c>
      <c r="O256" s="21">
        <f t="shared" si="77"/>
        <v>102</v>
      </c>
    </row>
    <row r="257" spans="2:15" ht="15.75" customHeight="1">
      <c r="B257" s="37">
        <f t="shared" si="76"/>
        <v>249</v>
      </c>
      <c r="C257" s="17" t="s">
        <v>278</v>
      </c>
      <c r="D257" s="24" t="s">
        <v>14</v>
      </c>
      <c r="E257" s="24" t="s">
        <v>14</v>
      </c>
      <c r="F257" s="19">
        <f t="shared" si="78"/>
        <v>1</v>
      </c>
      <c r="G257" s="19">
        <v>30</v>
      </c>
      <c r="H257" s="30">
        <f t="shared" si="87"/>
        <v>30</v>
      </c>
      <c r="I257" s="56" t="s">
        <v>14</v>
      </c>
      <c r="J257" s="19">
        <f t="shared" si="79"/>
        <v>1</v>
      </c>
      <c r="K257" s="19">
        <v>45</v>
      </c>
      <c r="L257" s="21">
        <f t="shared" si="69"/>
        <v>45</v>
      </c>
      <c r="M257" s="61">
        <v>30</v>
      </c>
      <c r="N257" s="91">
        <f t="shared" si="80"/>
        <v>75</v>
      </c>
      <c r="O257" s="21">
        <f t="shared" si="77"/>
        <v>105</v>
      </c>
    </row>
    <row r="258" spans="2:15" ht="15.75" customHeight="1">
      <c r="B258" s="37">
        <f t="shared" si="76"/>
        <v>250</v>
      </c>
      <c r="C258" s="17" t="s">
        <v>279</v>
      </c>
      <c r="D258" s="24" t="s">
        <v>11</v>
      </c>
      <c r="E258" s="24" t="s">
        <v>8</v>
      </c>
      <c r="F258" s="19">
        <f t="shared" si="78"/>
        <v>0.7</v>
      </c>
      <c r="G258" s="19">
        <v>30</v>
      </c>
      <c r="H258" s="30">
        <f t="shared" si="87"/>
        <v>21</v>
      </c>
      <c r="I258" s="56" t="s">
        <v>14</v>
      </c>
      <c r="J258" s="19">
        <f t="shared" si="79"/>
        <v>1</v>
      </c>
      <c r="K258" s="19">
        <v>45</v>
      </c>
      <c r="L258" s="21">
        <f t="shared" si="69"/>
        <v>45</v>
      </c>
      <c r="M258" s="61">
        <v>25</v>
      </c>
      <c r="N258" s="91">
        <f t="shared" si="80"/>
        <v>70</v>
      </c>
      <c r="O258" s="21">
        <f t="shared" si="77"/>
        <v>91</v>
      </c>
    </row>
    <row r="259" spans="2:15" ht="15.75" customHeight="1">
      <c r="B259" s="37">
        <f t="shared" si="76"/>
        <v>251</v>
      </c>
      <c r="C259" s="17" t="s">
        <v>280</v>
      </c>
      <c r="D259" s="24" t="s">
        <v>11</v>
      </c>
      <c r="E259" s="24" t="s">
        <v>8</v>
      </c>
      <c r="F259" s="19">
        <f t="shared" si="78"/>
        <v>0.7</v>
      </c>
      <c r="G259" s="19">
        <v>30</v>
      </c>
      <c r="H259" s="30">
        <f t="shared" si="87"/>
        <v>21</v>
      </c>
      <c r="I259" s="56" t="s">
        <v>14</v>
      </c>
      <c r="J259" s="19">
        <f t="shared" si="79"/>
        <v>1</v>
      </c>
      <c r="K259" s="19">
        <v>45</v>
      </c>
      <c r="L259" s="21">
        <f t="shared" si="69"/>
        <v>45</v>
      </c>
      <c r="M259" s="61">
        <v>30</v>
      </c>
      <c r="N259" s="91">
        <f t="shared" si="80"/>
        <v>75</v>
      </c>
      <c r="O259" s="21">
        <f t="shared" si="77"/>
        <v>96</v>
      </c>
    </row>
    <row r="260" spans="2:15" ht="15.75" customHeight="1">
      <c r="B260" s="37">
        <f t="shared" si="76"/>
        <v>252</v>
      </c>
      <c r="C260" s="17" t="s">
        <v>281</v>
      </c>
      <c r="D260" s="24" t="s">
        <v>11</v>
      </c>
      <c r="E260" s="24" t="s">
        <v>6</v>
      </c>
      <c r="F260" s="19">
        <f t="shared" si="78"/>
        <v>0.4</v>
      </c>
      <c r="G260" s="19">
        <v>30</v>
      </c>
      <c r="H260" s="30">
        <f t="shared" si="87"/>
        <v>12</v>
      </c>
      <c r="I260" s="56" t="s">
        <v>11</v>
      </c>
      <c r="J260" s="19">
        <f t="shared" si="79"/>
        <v>0.8</v>
      </c>
      <c r="K260" s="19">
        <v>45</v>
      </c>
      <c r="L260" s="21">
        <f t="shared" si="69"/>
        <v>36</v>
      </c>
      <c r="M260" s="61">
        <v>29</v>
      </c>
      <c r="N260" s="91">
        <f t="shared" si="80"/>
        <v>65</v>
      </c>
      <c r="O260" s="21">
        <f t="shared" si="77"/>
        <v>77</v>
      </c>
    </row>
    <row r="261" spans="2:15" ht="15.75" customHeight="1">
      <c r="B261" s="37">
        <f t="shared" si="76"/>
        <v>253</v>
      </c>
      <c r="C261" s="17" t="s">
        <v>282</v>
      </c>
      <c r="D261" s="24" t="s">
        <v>11</v>
      </c>
      <c r="E261" s="24" t="s">
        <v>8</v>
      </c>
      <c r="F261" s="19">
        <f t="shared" si="78"/>
        <v>0.7</v>
      </c>
      <c r="G261" s="19">
        <v>30</v>
      </c>
      <c r="H261" s="30">
        <f t="shared" si="87"/>
        <v>21</v>
      </c>
      <c r="I261" s="56" t="s">
        <v>14</v>
      </c>
      <c r="J261" s="19">
        <f t="shared" si="79"/>
        <v>1</v>
      </c>
      <c r="K261" s="19">
        <v>45</v>
      </c>
      <c r="L261" s="21">
        <f t="shared" si="69"/>
        <v>45</v>
      </c>
      <c r="M261" s="61">
        <v>21</v>
      </c>
      <c r="N261" s="91">
        <f t="shared" si="80"/>
        <v>66</v>
      </c>
      <c r="O261" s="21">
        <f t="shared" si="77"/>
        <v>87</v>
      </c>
    </row>
    <row r="262" spans="2:15" ht="15.75" customHeight="1">
      <c r="B262" s="37">
        <f t="shared" si="76"/>
        <v>254</v>
      </c>
      <c r="C262" s="17" t="s">
        <v>283</v>
      </c>
      <c r="D262" s="24" t="s">
        <v>11</v>
      </c>
      <c r="E262" s="24" t="s">
        <v>11</v>
      </c>
      <c r="F262" s="19">
        <f t="shared" si="78"/>
        <v>0.8</v>
      </c>
      <c r="G262" s="19">
        <v>30</v>
      </c>
      <c r="H262" s="30">
        <f t="shared" si="87"/>
        <v>24</v>
      </c>
      <c r="I262" s="56" t="s">
        <v>11</v>
      </c>
      <c r="J262" s="19">
        <f t="shared" si="79"/>
        <v>0.8</v>
      </c>
      <c r="K262" s="19">
        <v>45</v>
      </c>
      <c r="L262" s="21">
        <f t="shared" si="69"/>
        <v>36</v>
      </c>
      <c r="M262" s="61">
        <v>30</v>
      </c>
      <c r="N262" s="91">
        <f t="shared" si="80"/>
        <v>66</v>
      </c>
      <c r="O262" s="21">
        <f t="shared" si="77"/>
        <v>90</v>
      </c>
    </row>
    <row r="263" spans="2:15" ht="15.75" customHeight="1">
      <c r="B263" s="37">
        <f t="shared" si="76"/>
        <v>255</v>
      </c>
      <c r="C263" s="17" t="s">
        <v>284</v>
      </c>
      <c r="D263" s="24" t="s">
        <v>11</v>
      </c>
      <c r="E263" s="24" t="s">
        <v>11</v>
      </c>
      <c r="F263" s="19">
        <f t="shared" si="78"/>
        <v>0.8</v>
      </c>
      <c r="G263" s="19">
        <v>30</v>
      </c>
      <c r="H263" s="30">
        <f t="shared" si="87"/>
        <v>24</v>
      </c>
      <c r="I263" s="56" t="s">
        <v>14</v>
      </c>
      <c r="J263" s="19">
        <f t="shared" si="79"/>
        <v>1</v>
      </c>
      <c r="K263" s="19">
        <v>45</v>
      </c>
      <c r="L263" s="21">
        <f t="shared" si="69"/>
        <v>45</v>
      </c>
      <c r="M263" s="61">
        <v>30</v>
      </c>
      <c r="N263" s="91">
        <f t="shared" si="80"/>
        <v>75</v>
      </c>
      <c r="O263" s="21">
        <f t="shared" si="77"/>
        <v>99</v>
      </c>
    </row>
    <row r="264" spans="2:15" ht="15.75" customHeight="1">
      <c r="B264" s="37">
        <f t="shared" si="76"/>
        <v>256</v>
      </c>
      <c r="C264" s="17" t="s">
        <v>285</v>
      </c>
      <c r="D264" s="24" t="s">
        <v>11</v>
      </c>
      <c r="E264" s="24" t="s">
        <v>6</v>
      </c>
      <c r="F264" s="19">
        <f t="shared" si="78"/>
        <v>0.4</v>
      </c>
      <c r="G264" s="19">
        <v>30</v>
      </c>
      <c r="H264" s="30">
        <f t="shared" si="87"/>
        <v>12</v>
      </c>
      <c r="I264" s="56" t="s">
        <v>14</v>
      </c>
      <c r="J264" s="19">
        <f t="shared" si="79"/>
        <v>1</v>
      </c>
      <c r="K264" s="19">
        <v>45</v>
      </c>
      <c r="L264" s="21">
        <f t="shared" si="69"/>
        <v>45</v>
      </c>
      <c r="M264" s="61">
        <v>30</v>
      </c>
      <c r="N264" s="91">
        <f t="shared" si="80"/>
        <v>75</v>
      </c>
      <c r="O264" s="21">
        <f t="shared" si="77"/>
        <v>87</v>
      </c>
    </row>
    <row r="265" spans="2:15" ht="15.75" customHeight="1">
      <c r="B265" s="37">
        <f t="shared" si="76"/>
        <v>257</v>
      </c>
      <c r="C265" s="17" t="s">
        <v>286</v>
      </c>
      <c r="D265" s="24" t="s">
        <v>14</v>
      </c>
      <c r="E265" s="24" t="s">
        <v>14</v>
      </c>
      <c r="F265" s="19">
        <f t="shared" si="78"/>
        <v>1</v>
      </c>
      <c r="G265" s="19">
        <v>30</v>
      </c>
      <c r="H265" s="30">
        <f t="shared" si="87"/>
        <v>30</v>
      </c>
      <c r="I265" s="56" t="s">
        <v>14</v>
      </c>
      <c r="J265" s="19">
        <f t="shared" si="79"/>
        <v>1</v>
      </c>
      <c r="K265" s="19">
        <v>45</v>
      </c>
      <c r="L265" s="21">
        <f t="shared" si="69"/>
        <v>45</v>
      </c>
      <c r="M265" s="61">
        <v>30</v>
      </c>
      <c r="N265" s="91">
        <f t="shared" si="80"/>
        <v>75</v>
      </c>
      <c r="O265" s="21">
        <f t="shared" si="77"/>
        <v>105</v>
      </c>
    </row>
    <row r="266" spans="2:15" ht="15.75" customHeight="1">
      <c r="B266" s="37">
        <f t="shared" si="76"/>
        <v>258</v>
      </c>
      <c r="C266" s="17" t="s">
        <v>287</v>
      </c>
      <c r="D266" s="24" t="s">
        <v>14</v>
      </c>
      <c r="E266" s="24" t="s">
        <v>11</v>
      </c>
      <c r="F266" s="19">
        <f t="shared" si="78"/>
        <v>0.9</v>
      </c>
      <c r="G266" s="19">
        <v>30</v>
      </c>
      <c r="H266" s="30">
        <f t="shared" si="87"/>
        <v>27</v>
      </c>
      <c r="I266" s="56" t="s">
        <v>11</v>
      </c>
      <c r="J266" s="19">
        <f t="shared" si="79"/>
        <v>0.8</v>
      </c>
      <c r="K266" s="19">
        <v>45</v>
      </c>
      <c r="L266" s="21">
        <f t="shared" si="69"/>
        <v>36</v>
      </c>
      <c r="M266" s="61">
        <v>30</v>
      </c>
      <c r="N266" s="91">
        <f t="shared" si="80"/>
        <v>66</v>
      </c>
      <c r="O266" s="21">
        <f t="shared" si="77"/>
        <v>93</v>
      </c>
    </row>
    <row r="267" spans="2:15" ht="15.75" customHeight="1">
      <c r="B267" s="37">
        <f t="shared" si="76"/>
        <v>259</v>
      </c>
      <c r="C267" s="17" t="s">
        <v>288</v>
      </c>
      <c r="D267" s="24" t="s">
        <v>11</v>
      </c>
      <c r="E267" s="24" t="s">
        <v>11</v>
      </c>
      <c r="F267" s="19">
        <f t="shared" si="78"/>
        <v>0.8</v>
      </c>
      <c r="G267" s="19">
        <v>30</v>
      </c>
      <c r="H267" s="30">
        <f t="shared" si="87"/>
        <v>24</v>
      </c>
      <c r="I267" s="56" t="s">
        <v>14</v>
      </c>
      <c r="J267" s="19">
        <f t="shared" si="79"/>
        <v>1</v>
      </c>
      <c r="K267" s="19">
        <v>45</v>
      </c>
      <c r="L267" s="21">
        <f t="shared" si="69"/>
        <v>45</v>
      </c>
      <c r="M267" s="61">
        <v>22</v>
      </c>
      <c r="N267" s="91">
        <f t="shared" si="80"/>
        <v>67</v>
      </c>
      <c r="O267" s="21">
        <f t="shared" si="77"/>
        <v>91</v>
      </c>
    </row>
    <row r="268" spans="2:15" ht="15.75" customHeight="1">
      <c r="B268" s="37">
        <f t="shared" si="76"/>
        <v>260</v>
      </c>
      <c r="C268" s="17" t="s">
        <v>289</v>
      </c>
      <c r="D268" s="24" t="s">
        <v>11</v>
      </c>
      <c r="E268" s="24" t="s">
        <v>11</v>
      </c>
      <c r="F268" s="19">
        <f t="shared" si="78"/>
        <v>0.8</v>
      </c>
      <c r="G268" s="19">
        <v>30</v>
      </c>
      <c r="H268" s="30">
        <f t="shared" si="87"/>
        <v>24</v>
      </c>
      <c r="I268" s="56" t="s">
        <v>14</v>
      </c>
      <c r="J268" s="19">
        <f t="shared" si="79"/>
        <v>1</v>
      </c>
      <c r="K268" s="21">
        <v>45</v>
      </c>
      <c r="L268" s="21">
        <f t="shared" si="69"/>
        <v>45</v>
      </c>
      <c r="M268" s="61">
        <v>30</v>
      </c>
      <c r="N268" s="91">
        <f t="shared" si="80"/>
        <v>75</v>
      </c>
      <c r="O268" s="21">
        <f t="shared" si="77"/>
        <v>99</v>
      </c>
    </row>
    <row r="269" spans="2:15" ht="15.75" customHeight="1">
      <c r="B269" s="37">
        <f t="shared" si="76"/>
        <v>261</v>
      </c>
      <c r="C269" s="17" t="s">
        <v>290</v>
      </c>
      <c r="D269" s="24" t="s">
        <v>11</v>
      </c>
      <c r="E269" s="24" t="s">
        <v>11</v>
      </c>
      <c r="F269" s="19">
        <f t="shared" si="78"/>
        <v>0.8</v>
      </c>
      <c r="G269" s="19">
        <v>30</v>
      </c>
      <c r="H269" s="30">
        <f t="shared" si="87"/>
        <v>24</v>
      </c>
      <c r="I269" s="56" t="s">
        <v>14</v>
      </c>
      <c r="J269" s="19">
        <f t="shared" si="79"/>
        <v>1</v>
      </c>
      <c r="K269" s="19">
        <v>45</v>
      </c>
      <c r="L269" s="21">
        <f t="shared" si="69"/>
        <v>45</v>
      </c>
      <c r="M269" s="61">
        <v>24</v>
      </c>
      <c r="N269" s="91">
        <f t="shared" si="80"/>
        <v>69</v>
      </c>
      <c r="O269" s="21">
        <f t="shared" si="77"/>
        <v>93</v>
      </c>
    </row>
    <row r="270" spans="2:15" s="4" customFormat="1" ht="15.75" customHeight="1">
      <c r="B270" s="104">
        <f t="shared" si="76"/>
        <v>262</v>
      </c>
      <c r="C270" s="105" t="s">
        <v>291</v>
      </c>
      <c r="D270" s="24" t="s">
        <v>6</v>
      </c>
      <c r="E270" s="24" t="s">
        <v>6</v>
      </c>
      <c r="F270" s="106">
        <f t="shared" si="78"/>
        <v>0</v>
      </c>
      <c r="G270" s="106">
        <v>30</v>
      </c>
      <c r="H270" s="22">
        <f t="shared" si="87"/>
        <v>0</v>
      </c>
      <c r="I270" s="109" t="s">
        <v>11</v>
      </c>
      <c r="J270" s="106">
        <f t="shared" si="79"/>
        <v>0.8</v>
      </c>
      <c r="K270" s="106">
        <v>45</v>
      </c>
      <c r="L270" s="106">
        <f t="shared" si="69"/>
        <v>36</v>
      </c>
      <c r="M270" s="110">
        <v>20</v>
      </c>
      <c r="N270" s="111">
        <f t="shared" si="80"/>
        <v>56</v>
      </c>
      <c r="O270" s="106">
        <f t="shared" si="77"/>
        <v>56</v>
      </c>
    </row>
    <row r="271" spans="2:15" ht="15.75" customHeight="1">
      <c r="B271" s="37">
        <f t="shared" si="76"/>
        <v>263</v>
      </c>
      <c r="C271" s="17" t="s">
        <v>292</v>
      </c>
      <c r="D271" s="24" t="s">
        <v>11</v>
      </c>
      <c r="E271" s="24" t="s">
        <v>14</v>
      </c>
      <c r="F271" s="19">
        <f t="shared" si="78"/>
        <v>0.9</v>
      </c>
      <c r="G271" s="19">
        <v>30</v>
      </c>
      <c r="H271" s="30">
        <f t="shared" si="87"/>
        <v>27</v>
      </c>
      <c r="I271" s="56" t="s">
        <v>14</v>
      </c>
      <c r="J271" s="19">
        <f t="shared" si="79"/>
        <v>1</v>
      </c>
      <c r="K271" s="19">
        <v>45</v>
      </c>
      <c r="L271" s="21">
        <f t="shared" si="69"/>
        <v>45</v>
      </c>
      <c r="M271" s="61">
        <v>30</v>
      </c>
      <c r="N271" s="91">
        <f t="shared" si="80"/>
        <v>75</v>
      </c>
      <c r="O271" s="21">
        <f t="shared" si="77"/>
        <v>102</v>
      </c>
    </row>
    <row r="272" spans="2:15" ht="15.75" customHeight="1">
      <c r="B272" s="37">
        <f t="shared" si="76"/>
        <v>264</v>
      </c>
      <c r="C272" s="17" t="s">
        <v>293</v>
      </c>
      <c r="D272" s="24" t="s">
        <v>11</v>
      </c>
      <c r="E272" s="24" t="s">
        <v>6</v>
      </c>
      <c r="F272" s="19">
        <f t="shared" si="78"/>
        <v>0.4</v>
      </c>
      <c r="G272" s="19">
        <v>30</v>
      </c>
      <c r="H272" s="30">
        <f t="shared" si="87"/>
        <v>12</v>
      </c>
      <c r="I272" s="56" t="s">
        <v>11</v>
      </c>
      <c r="J272" s="19">
        <f t="shared" si="79"/>
        <v>0.8</v>
      </c>
      <c r="K272" s="19">
        <v>45</v>
      </c>
      <c r="L272" s="21">
        <f t="shared" si="69"/>
        <v>36</v>
      </c>
      <c r="M272" s="61">
        <v>20</v>
      </c>
      <c r="N272" s="91">
        <f t="shared" si="80"/>
        <v>56</v>
      </c>
      <c r="O272" s="21">
        <f t="shared" si="77"/>
        <v>68</v>
      </c>
    </row>
    <row r="273" spans="2:15" s="4" customFormat="1" ht="15.75" customHeight="1">
      <c r="B273" s="104">
        <f t="shared" si="76"/>
        <v>265</v>
      </c>
      <c r="C273" s="105" t="s">
        <v>294</v>
      </c>
      <c r="D273" s="24" t="s">
        <v>6</v>
      </c>
      <c r="E273" s="24" t="s">
        <v>6</v>
      </c>
      <c r="F273" s="106">
        <f t="shared" ref="F273:F277" si="88">(0.5*(IF(E273="AB",0,(IF(E273="NA",0,(IF(E273="P",0.6,(IF(E273="M",0.8,(IF(E273="D",1,"False Entry")))))))))))+(0.5*(IF(D273="AB",0,(IF(D273="NA",0,(IF(D273="P",0.6,(IF(D273="M",0.8,(IF(D273="D",1,"False Entry")))))))))))</f>
        <v>0</v>
      </c>
      <c r="G273" s="106">
        <v>30</v>
      </c>
      <c r="H273" s="22">
        <f t="shared" ref="H273:H277" si="89">ROUNDUP(F273*G273,0)</f>
        <v>0</v>
      </c>
      <c r="I273" s="109" t="s">
        <v>14</v>
      </c>
      <c r="J273" s="106">
        <f t="shared" ref="J273:J277" si="90">(IF(I273="AB",0,IF(I273="NA",0,IF(I273="P",0.6,IF(I273="M",0.8,IF(I273="D",1,"False Entry"))))))</f>
        <v>1</v>
      </c>
      <c r="K273" s="106">
        <v>45</v>
      </c>
      <c r="L273" s="106">
        <f t="shared" si="69"/>
        <v>45</v>
      </c>
      <c r="M273" s="110">
        <v>20</v>
      </c>
      <c r="N273" s="111">
        <f t="shared" ref="N273:N277" si="91">ROUNDUP(M273+L273,0)</f>
        <v>65</v>
      </c>
      <c r="O273" s="106">
        <f t="shared" si="77"/>
        <v>65</v>
      </c>
    </row>
    <row r="274" spans="2:15" ht="15.75" customHeight="1">
      <c r="B274" s="37">
        <f t="shared" si="76"/>
        <v>266</v>
      </c>
      <c r="C274" s="17" t="s">
        <v>295</v>
      </c>
      <c r="D274" s="24" t="s">
        <v>11</v>
      </c>
      <c r="E274" s="24" t="s">
        <v>14</v>
      </c>
      <c r="F274" s="19">
        <f t="shared" si="88"/>
        <v>0.9</v>
      </c>
      <c r="G274" s="19">
        <v>30</v>
      </c>
      <c r="H274" s="30">
        <f t="shared" si="89"/>
        <v>27</v>
      </c>
      <c r="I274" s="56" t="s">
        <v>14</v>
      </c>
      <c r="J274" s="19">
        <f t="shared" si="90"/>
        <v>1</v>
      </c>
      <c r="K274" s="19">
        <v>45</v>
      </c>
      <c r="L274" s="21">
        <f t="shared" si="69"/>
        <v>45</v>
      </c>
      <c r="M274" s="61">
        <v>24</v>
      </c>
      <c r="N274" s="91">
        <f t="shared" si="91"/>
        <v>69</v>
      </c>
      <c r="O274" s="21">
        <f t="shared" si="77"/>
        <v>96</v>
      </c>
    </row>
    <row r="275" spans="2:15" s="4" customFormat="1" ht="15.75" customHeight="1">
      <c r="B275" s="104">
        <f t="shared" si="76"/>
        <v>267</v>
      </c>
      <c r="C275" s="105" t="s">
        <v>296</v>
      </c>
      <c r="D275" s="24" t="s">
        <v>4</v>
      </c>
      <c r="E275" s="24" t="s">
        <v>4</v>
      </c>
      <c r="F275" s="106">
        <f t="shared" si="88"/>
        <v>0</v>
      </c>
      <c r="G275" s="106">
        <v>30</v>
      </c>
      <c r="H275" s="22">
        <f t="shared" si="89"/>
        <v>0</v>
      </c>
      <c r="I275" s="109" t="s">
        <v>4</v>
      </c>
      <c r="J275" s="106">
        <f t="shared" si="90"/>
        <v>0</v>
      </c>
      <c r="K275" s="106">
        <v>45</v>
      </c>
      <c r="L275" s="106">
        <f t="shared" si="69"/>
        <v>0</v>
      </c>
      <c r="M275" s="110">
        <v>0</v>
      </c>
      <c r="N275" s="111">
        <f t="shared" si="91"/>
        <v>0</v>
      </c>
      <c r="O275" s="106">
        <f t="shared" si="77"/>
        <v>0</v>
      </c>
    </row>
    <row r="276" spans="2:15" ht="15.75" customHeight="1">
      <c r="B276" s="37">
        <f t="shared" si="76"/>
        <v>268</v>
      </c>
      <c r="C276" s="17" t="s">
        <v>297</v>
      </c>
      <c r="D276" s="24" t="s">
        <v>11</v>
      </c>
      <c r="E276" s="24" t="s">
        <v>14</v>
      </c>
      <c r="F276" s="19">
        <f t="shared" si="88"/>
        <v>0.9</v>
      </c>
      <c r="G276" s="19">
        <v>30</v>
      </c>
      <c r="H276" s="30">
        <f t="shared" si="89"/>
        <v>27</v>
      </c>
      <c r="I276" s="56" t="s">
        <v>14</v>
      </c>
      <c r="J276" s="19">
        <f t="shared" si="90"/>
        <v>1</v>
      </c>
      <c r="K276" s="19">
        <v>45</v>
      </c>
      <c r="L276" s="21">
        <f t="shared" si="69"/>
        <v>45</v>
      </c>
      <c r="M276" s="61">
        <v>30</v>
      </c>
      <c r="N276" s="91">
        <f t="shared" si="91"/>
        <v>75</v>
      </c>
      <c r="O276" s="21">
        <f t="shared" si="77"/>
        <v>102</v>
      </c>
    </row>
    <row r="277" spans="2:15" ht="15.75" customHeight="1">
      <c r="B277" s="37">
        <f t="shared" si="76"/>
        <v>269</v>
      </c>
      <c r="C277" s="17" t="s">
        <v>298</v>
      </c>
      <c r="D277" s="24" t="s">
        <v>14</v>
      </c>
      <c r="E277" s="24" t="s">
        <v>11</v>
      </c>
      <c r="F277" s="19">
        <f t="shared" si="88"/>
        <v>0.9</v>
      </c>
      <c r="G277" s="19">
        <v>30</v>
      </c>
      <c r="H277" s="30">
        <f t="shared" si="89"/>
        <v>27</v>
      </c>
      <c r="I277" s="56" t="s">
        <v>14</v>
      </c>
      <c r="J277" s="19">
        <f t="shared" si="90"/>
        <v>1</v>
      </c>
      <c r="K277" s="19">
        <v>45</v>
      </c>
      <c r="L277" s="21">
        <f t="shared" si="69"/>
        <v>45</v>
      </c>
      <c r="M277" s="61">
        <v>30</v>
      </c>
      <c r="N277" s="91">
        <f t="shared" si="91"/>
        <v>75</v>
      </c>
      <c r="O277" s="21">
        <f t="shared" si="77"/>
        <v>102</v>
      </c>
    </row>
    <row r="278" spans="2:15" s="4" customFormat="1" ht="15.75" customHeight="1">
      <c r="B278" s="104">
        <f t="shared" si="76"/>
        <v>270</v>
      </c>
      <c r="C278" s="105" t="s">
        <v>299</v>
      </c>
      <c r="D278" s="24" t="s">
        <v>11</v>
      </c>
      <c r="E278" s="24" t="s">
        <v>6</v>
      </c>
      <c r="F278" s="106">
        <f t="shared" si="78"/>
        <v>0.4</v>
      </c>
      <c r="G278" s="106">
        <v>30</v>
      </c>
      <c r="H278" s="22">
        <f t="shared" si="87"/>
        <v>12</v>
      </c>
      <c r="I278" s="109" t="s">
        <v>11</v>
      </c>
      <c r="J278" s="106">
        <f t="shared" si="79"/>
        <v>0.8</v>
      </c>
      <c r="K278" s="106">
        <v>45</v>
      </c>
      <c r="L278" s="106">
        <f t="shared" ref="L278:L297" si="92">J278*K278</f>
        <v>36</v>
      </c>
      <c r="M278" s="110">
        <v>20</v>
      </c>
      <c r="N278" s="111">
        <f t="shared" si="80"/>
        <v>56</v>
      </c>
      <c r="O278" s="106">
        <f t="shared" ref="O278:O299" si="93">H278+N278</f>
        <v>68</v>
      </c>
    </row>
    <row r="279" spans="2:15" s="4" customFormat="1" ht="15.75" customHeight="1">
      <c r="B279" s="104">
        <f t="shared" si="76"/>
        <v>271</v>
      </c>
      <c r="C279" s="105" t="s">
        <v>300</v>
      </c>
      <c r="D279" s="24" t="s">
        <v>4</v>
      </c>
      <c r="E279" s="24" t="s">
        <v>4</v>
      </c>
      <c r="F279" s="106">
        <f t="shared" si="78"/>
        <v>0</v>
      </c>
      <c r="G279" s="106">
        <v>30</v>
      </c>
      <c r="H279" s="22">
        <f t="shared" si="87"/>
        <v>0</v>
      </c>
      <c r="I279" s="109" t="s">
        <v>4</v>
      </c>
      <c r="J279" s="106">
        <f t="shared" si="79"/>
        <v>0</v>
      </c>
      <c r="K279" s="106">
        <v>45</v>
      </c>
      <c r="L279" s="106">
        <f t="shared" si="92"/>
        <v>0</v>
      </c>
      <c r="M279" s="110">
        <v>0</v>
      </c>
      <c r="N279" s="111">
        <f t="shared" si="80"/>
        <v>0</v>
      </c>
      <c r="O279" s="106">
        <f t="shared" si="93"/>
        <v>0</v>
      </c>
    </row>
    <row r="280" spans="2:15" ht="15.75" customHeight="1">
      <c r="B280" s="37">
        <f t="shared" si="76"/>
        <v>272</v>
      </c>
      <c r="C280" s="17" t="s">
        <v>301</v>
      </c>
      <c r="D280" s="24" t="s">
        <v>11</v>
      </c>
      <c r="E280" s="24" t="s">
        <v>8</v>
      </c>
      <c r="F280" s="19">
        <f t="shared" si="78"/>
        <v>0.7</v>
      </c>
      <c r="G280" s="19">
        <v>30</v>
      </c>
      <c r="H280" s="30">
        <f t="shared" si="87"/>
        <v>21</v>
      </c>
      <c r="I280" s="56" t="s">
        <v>11</v>
      </c>
      <c r="J280" s="19">
        <f t="shared" si="79"/>
        <v>0.8</v>
      </c>
      <c r="K280" s="19">
        <v>45</v>
      </c>
      <c r="L280" s="21">
        <f t="shared" si="92"/>
        <v>36</v>
      </c>
      <c r="M280" s="61">
        <v>30</v>
      </c>
      <c r="N280" s="91">
        <f t="shared" si="80"/>
        <v>66</v>
      </c>
      <c r="O280" s="21">
        <f t="shared" si="93"/>
        <v>87</v>
      </c>
    </row>
    <row r="281" spans="2:15" ht="15.75" customHeight="1">
      <c r="B281" s="37">
        <f t="shared" si="76"/>
        <v>273</v>
      </c>
      <c r="C281" s="17" t="s">
        <v>302</v>
      </c>
      <c r="D281" s="24" t="s">
        <v>11</v>
      </c>
      <c r="E281" s="24" t="s">
        <v>11</v>
      </c>
      <c r="F281" s="19">
        <f t="shared" si="78"/>
        <v>0.8</v>
      </c>
      <c r="G281" s="19">
        <v>30</v>
      </c>
      <c r="H281" s="30">
        <f t="shared" si="87"/>
        <v>24</v>
      </c>
      <c r="I281" s="56" t="s">
        <v>14</v>
      </c>
      <c r="J281" s="19">
        <f t="shared" si="79"/>
        <v>1</v>
      </c>
      <c r="K281" s="19">
        <v>45</v>
      </c>
      <c r="L281" s="21">
        <f t="shared" si="92"/>
        <v>45</v>
      </c>
      <c r="M281" s="61">
        <v>30</v>
      </c>
      <c r="N281" s="91">
        <f t="shared" si="80"/>
        <v>75</v>
      </c>
      <c r="O281" s="21">
        <f t="shared" si="93"/>
        <v>99</v>
      </c>
    </row>
    <row r="282" spans="2:15" s="4" customFormat="1" ht="15.75" customHeight="1">
      <c r="B282" s="104">
        <f t="shared" si="76"/>
        <v>274</v>
      </c>
      <c r="C282" s="105" t="s">
        <v>303</v>
      </c>
      <c r="D282" s="24" t="s">
        <v>11</v>
      </c>
      <c r="E282" s="24" t="s">
        <v>14</v>
      </c>
      <c r="F282" s="106">
        <f t="shared" si="78"/>
        <v>0.9</v>
      </c>
      <c r="G282" s="106">
        <v>30</v>
      </c>
      <c r="H282" s="22">
        <f t="shared" si="87"/>
        <v>27</v>
      </c>
      <c r="I282" s="109" t="s">
        <v>11</v>
      </c>
      <c r="J282" s="106">
        <f t="shared" si="79"/>
        <v>0.8</v>
      </c>
      <c r="K282" s="106">
        <v>45</v>
      </c>
      <c r="L282" s="106">
        <f t="shared" si="92"/>
        <v>36</v>
      </c>
      <c r="M282" s="110">
        <v>0</v>
      </c>
      <c r="N282" s="111">
        <f t="shared" si="80"/>
        <v>36</v>
      </c>
      <c r="O282" s="106">
        <f t="shared" si="93"/>
        <v>63</v>
      </c>
    </row>
    <row r="283" spans="2:15" ht="15.75" customHeight="1">
      <c r="B283" s="37">
        <f t="shared" si="76"/>
        <v>275</v>
      </c>
      <c r="C283" s="17" t="s">
        <v>304</v>
      </c>
      <c r="D283" s="24" t="s">
        <v>11</v>
      </c>
      <c r="E283" s="24" t="s">
        <v>11</v>
      </c>
      <c r="F283" s="19">
        <f t="shared" si="78"/>
        <v>0.8</v>
      </c>
      <c r="G283" s="19">
        <v>30</v>
      </c>
      <c r="H283" s="30">
        <f t="shared" si="87"/>
        <v>24</v>
      </c>
      <c r="I283" s="56" t="s">
        <v>14</v>
      </c>
      <c r="J283" s="19">
        <f t="shared" si="79"/>
        <v>1</v>
      </c>
      <c r="K283" s="19">
        <v>45</v>
      </c>
      <c r="L283" s="21">
        <f t="shared" si="92"/>
        <v>45</v>
      </c>
      <c r="M283" s="61">
        <v>30</v>
      </c>
      <c r="N283" s="91">
        <f t="shared" si="80"/>
        <v>75</v>
      </c>
      <c r="O283" s="21">
        <f t="shared" si="93"/>
        <v>99</v>
      </c>
    </row>
    <row r="284" spans="2:15" ht="15.75" customHeight="1">
      <c r="B284" s="37">
        <f t="shared" si="76"/>
        <v>276</v>
      </c>
      <c r="C284" s="17" t="s">
        <v>305</v>
      </c>
      <c r="D284" s="24" t="s">
        <v>11</v>
      </c>
      <c r="E284" s="24" t="s">
        <v>8</v>
      </c>
      <c r="F284" s="19">
        <f t="shared" si="78"/>
        <v>0.7</v>
      </c>
      <c r="G284" s="19">
        <v>30</v>
      </c>
      <c r="H284" s="30">
        <f t="shared" si="87"/>
        <v>21</v>
      </c>
      <c r="I284" s="56" t="s">
        <v>11</v>
      </c>
      <c r="J284" s="19">
        <f t="shared" si="79"/>
        <v>0.8</v>
      </c>
      <c r="K284" s="19">
        <v>45</v>
      </c>
      <c r="L284" s="21">
        <f t="shared" si="92"/>
        <v>36</v>
      </c>
      <c r="M284" s="61">
        <v>29</v>
      </c>
      <c r="N284" s="91">
        <f t="shared" si="80"/>
        <v>65</v>
      </c>
      <c r="O284" s="21">
        <f t="shared" si="93"/>
        <v>86</v>
      </c>
    </row>
    <row r="285" spans="2:15" ht="15.75" customHeight="1">
      <c r="B285" s="37">
        <f t="shared" si="76"/>
        <v>277</v>
      </c>
      <c r="C285" s="17" t="s">
        <v>306</v>
      </c>
      <c r="D285" s="24" t="s">
        <v>11</v>
      </c>
      <c r="E285" s="24" t="s">
        <v>11</v>
      </c>
      <c r="F285" s="19">
        <f t="shared" si="78"/>
        <v>0.8</v>
      </c>
      <c r="G285" s="19">
        <v>30</v>
      </c>
      <c r="H285" s="30">
        <f t="shared" si="87"/>
        <v>24</v>
      </c>
      <c r="I285" s="56" t="s">
        <v>14</v>
      </c>
      <c r="J285" s="19">
        <f t="shared" si="79"/>
        <v>1</v>
      </c>
      <c r="K285" s="19">
        <v>45</v>
      </c>
      <c r="L285" s="21">
        <f t="shared" si="92"/>
        <v>45</v>
      </c>
      <c r="M285" s="61">
        <v>20</v>
      </c>
      <c r="N285" s="91">
        <f t="shared" si="80"/>
        <v>65</v>
      </c>
      <c r="O285" s="21">
        <f t="shared" si="93"/>
        <v>89</v>
      </c>
    </row>
    <row r="286" spans="2:15" ht="15.75" customHeight="1">
      <c r="B286" s="37">
        <f t="shared" si="76"/>
        <v>278</v>
      </c>
      <c r="C286" s="17" t="s">
        <v>307</v>
      </c>
      <c r="D286" s="24" t="s">
        <v>11</v>
      </c>
      <c r="E286" s="24" t="s">
        <v>11</v>
      </c>
      <c r="F286" s="19">
        <f t="shared" si="78"/>
        <v>0.8</v>
      </c>
      <c r="G286" s="19">
        <v>30</v>
      </c>
      <c r="H286" s="30">
        <f t="shared" si="87"/>
        <v>24</v>
      </c>
      <c r="I286" s="56" t="s">
        <v>14</v>
      </c>
      <c r="J286" s="19">
        <f t="shared" si="79"/>
        <v>1</v>
      </c>
      <c r="K286" s="21">
        <v>45</v>
      </c>
      <c r="L286" s="21">
        <f t="shared" si="92"/>
        <v>45</v>
      </c>
      <c r="M286" s="61">
        <v>30</v>
      </c>
      <c r="N286" s="91">
        <f t="shared" si="80"/>
        <v>75</v>
      </c>
      <c r="O286" s="21">
        <f t="shared" si="93"/>
        <v>99</v>
      </c>
    </row>
    <row r="287" spans="2:15" ht="15.75" customHeight="1">
      <c r="B287" s="37">
        <f t="shared" si="76"/>
        <v>279</v>
      </c>
      <c r="C287" s="17" t="s">
        <v>308</v>
      </c>
      <c r="D287" s="24" t="s">
        <v>11</v>
      </c>
      <c r="E287" s="24" t="s">
        <v>8</v>
      </c>
      <c r="F287" s="19">
        <f t="shared" si="78"/>
        <v>0.7</v>
      </c>
      <c r="G287" s="19">
        <v>30</v>
      </c>
      <c r="H287" s="30">
        <f t="shared" si="87"/>
        <v>21</v>
      </c>
      <c r="I287" s="56" t="s">
        <v>14</v>
      </c>
      <c r="J287" s="19">
        <f t="shared" si="79"/>
        <v>1</v>
      </c>
      <c r="K287" s="19">
        <v>45</v>
      </c>
      <c r="L287" s="21">
        <f t="shared" si="92"/>
        <v>45</v>
      </c>
      <c r="M287" s="61">
        <v>20</v>
      </c>
      <c r="N287" s="91">
        <f t="shared" si="80"/>
        <v>65</v>
      </c>
      <c r="O287" s="21">
        <f t="shared" si="93"/>
        <v>86</v>
      </c>
    </row>
    <row r="288" spans="2:15" ht="15.75" customHeight="1">
      <c r="B288" s="37">
        <f t="shared" si="76"/>
        <v>280</v>
      </c>
      <c r="C288" s="17" t="s">
        <v>309</v>
      </c>
      <c r="D288" s="24" t="s">
        <v>14</v>
      </c>
      <c r="E288" s="24" t="s">
        <v>14</v>
      </c>
      <c r="F288" s="19">
        <f t="shared" si="78"/>
        <v>1</v>
      </c>
      <c r="G288" s="19">
        <v>30</v>
      </c>
      <c r="H288" s="30">
        <f t="shared" si="87"/>
        <v>30</v>
      </c>
      <c r="I288" s="56" t="s">
        <v>14</v>
      </c>
      <c r="J288" s="19">
        <f t="shared" si="79"/>
        <v>1</v>
      </c>
      <c r="K288" s="19">
        <v>45</v>
      </c>
      <c r="L288" s="21">
        <f t="shared" si="92"/>
        <v>45</v>
      </c>
      <c r="M288" s="61">
        <v>30</v>
      </c>
      <c r="N288" s="91">
        <f t="shared" si="80"/>
        <v>75</v>
      </c>
      <c r="O288" s="21">
        <f t="shared" si="93"/>
        <v>105</v>
      </c>
    </row>
    <row r="289" spans="2:15" ht="15.75" customHeight="1">
      <c r="B289" s="37">
        <f t="shared" si="76"/>
        <v>281</v>
      </c>
      <c r="C289" s="17" t="s">
        <v>310</v>
      </c>
      <c r="D289" s="24" t="s">
        <v>11</v>
      </c>
      <c r="E289" s="24" t="s">
        <v>8</v>
      </c>
      <c r="F289" s="19">
        <f t="shared" si="78"/>
        <v>0.7</v>
      </c>
      <c r="G289" s="19">
        <v>30</v>
      </c>
      <c r="H289" s="30">
        <f t="shared" si="87"/>
        <v>21</v>
      </c>
      <c r="I289" s="56" t="s">
        <v>14</v>
      </c>
      <c r="J289" s="19">
        <f t="shared" si="79"/>
        <v>1</v>
      </c>
      <c r="K289" s="19">
        <v>45</v>
      </c>
      <c r="L289" s="21">
        <f t="shared" si="92"/>
        <v>45</v>
      </c>
      <c r="M289" s="61">
        <v>20</v>
      </c>
      <c r="N289" s="91">
        <f t="shared" si="80"/>
        <v>65</v>
      </c>
      <c r="O289" s="21">
        <f t="shared" si="93"/>
        <v>86</v>
      </c>
    </row>
    <row r="290" spans="2:15" ht="15.75" customHeight="1">
      <c r="B290" s="37">
        <f t="shared" si="76"/>
        <v>282</v>
      </c>
      <c r="C290" s="17" t="s">
        <v>311</v>
      </c>
      <c r="D290" s="24" t="s">
        <v>11</v>
      </c>
      <c r="E290" s="24" t="s">
        <v>6</v>
      </c>
      <c r="F290" s="19">
        <f t="shared" si="78"/>
        <v>0.4</v>
      </c>
      <c r="G290" s="19">
        <v>30</v>
      </c>
      <c r="H290" s="30">
        <f t="shared" si="87"/>
        <v>12</v>
      </c>
      <c r="I290" s="56" t="s">
        <v>14</v>
      </c>
      <c r="J290" s="19">
        <f t="shared" si="79"/>
        <v>1</v>
      </c>
      <c r="K290" s="19">
        <v>45</v>
      </c>
      <c r="L290" s="21">
        <f t="shared" si="92"/>
        <v>45</v>
      </c>
      <c r="M290" s="61">
        <v>29</v>
      </c>
      <c r="N290" s="91">
        <f t="shared" si="80"/>
        <v>74</v>
      </c>
      <c r="O290" s="21">
        <f t="shared" si="93"/>
        <v>86</v>
      </c>
    </row>
    <row r="291" spans="2:15" ht="15.75" customHeight="1">
      <c r="B291" s="37">
        <f t="shared" si="76"/>
        <v>283</v>
      </c>
      <c r="C291" s="17" t="s">
        <v>312</v>
      </c>
      <c r="D291" s="24" t="s">
        <v>11</v>
      </c>
      <c r="E291" s="24" t="s">
        <v>6</v>
      </c>
      <c r="F291" s="19">
        <f t="shared" si="78"/>
        <v>0.4</v>
      </c>
      <c r="G291" s="19">
        <v>30</v>
      </c>
      <c r="H291" s="30">
        <f t="shared" si="87"/>
        <v>12</v>
      </c>
      <c r="I291" s="56" t="s">
        <v>11</v>
      </c>
      <c r="J291" s="19">
        <f t="shared" si="79"/>
        <v>0.8</v>
      </c>
      <c r="K291" s="19">
        <v>45</v>
      </c>
      <c r="L291" s="21">
        <f t="shared" si="92"/>
        <v>36</v>
      </c>
      <c r="M291" s="61">
        <v>30</v>
      </c>
      <c r="N291" s="91">
        <f t="shared" si="80"/>
        <v>66</v>
      </c>
      <c r="O291" s="21">
        <f t="shared" si="93"/>
        <v>78</v>
      </c>
    </row>
    <row r="292" spans="2:15" s="4" customFormat="1" ht="15.75" customHeight="1">
      <c r="B292" s="104">
        <f t="shared" si="76"/>
        <v>284</v>
      </c>
      <c r="C292" s="105" t="s">
        <v>313</v>
      </c>
      <c r="D292" s="24" t="s">
        <v>6</v>
      </c>
      <c r="E292" s="24" t="s">
        <v>6</v>
      </c>
      <c r="F292" s="106">
        <f t="shared" si="78"/>
        <v>0</v>
      </c>
      <c r="G292" s="106">
        <v>30</v>
      </c>
      <c r="H292" s="22">
        <f t="shared" si="87"/>
        <v>0</v>
      </c>
      <c r="I292" s="109" t="s">
        <v>11</v>
      </c>
      <c r="J292" s="106">
        <f t="shared" si="79"/>
        <v>0.8</v>
      </c>
      <c r="K292" s="106">
        <v>45</v>
      </c>
      <c r="L292" s="106">
        <f t="shared" si="92"/>
        <v>36</v>
      </c>
      <c r="M292" s="110">
        <v>20</v>
      </c>
      <c r="N292" s="111">
        <f t="shared" si="80"/>
        <v>56</v>
      </c>
      <c r="O292" s="106">
        <f t="shared" si="93"/>
        <v>56</v>
      </c>
    </row>
    <row r="293" spans="2:15" s="4" customFormat="1" ht="15.75" customHeight="1">
      <c r="B293" s="104">
        <f t="shared" si="76"/>
        <v>285</v>
      </c>
      <c r="C293" s="107" t="s">
        <v>314</v>
      </c>
      <c r="D293" s="24" t="s">
        <v>4</v>
      </c>
      <c r="E293" s="24" t="s">
        <v>4</v>
      </c>
      <c r="F293" s="106">
        <f t="shared" si="78"/>
        <v>0</v>
      </c>
      <c r="G293" s="106">
        <v>30</v>
      </c>
      <c r="H293" s="22">
        <f t="shared" si="87"/>
        <v>0</v>
      </c>
      <c r="I293" s="109" t="s">
        <v>4</v>
      </c>
      <c r="J293" s="106">
        <f t="shared" si="79"/>
        <v>0</v>
      </c>
      <c r="K293" s="106">
        <v>45</v>
      </c>
      <c r="L293" s="106">
        <f t="shared" si="92"/>
        <v>0</v>
      </c>
      <c r="M293" s="110">
        <v>0</v>
      </c>
      <c r="N293" s="111">
        <f t="shared" si="80"/>
        <v>0</v>
      </c>
      <c r="O293" s="106">
        <f t="shared" si="93"/>
        <v>0</v>
      </c>
    </row>
    <row r="294" spans="2:15" ht="15.75" customHeight="1">
      <c r="B294" s="37">
        <f t="shared" si="76"/>
        <v>286</v>
      </c>
      <c r="C294" s="17" t="s">
        <v>315</v>
      </c>
      <c r="D294" s="24" t="s">
        <v>11</v>
      </c>
      <c r="E294" s="24" t="s">
        <v>14</v>
      </c>
      <c r="F294" s="19">
        <f t="shared" si="78"/>
        <v>0.9</v>
      </c>
      <c r="G294" s="19">
        <v>30</v>
      </c>
      <c r="H294" s="30">
        <f t="shared" si="87"/>
        <v>27</v>
      </c>
      <c r="I294" s="56" t="s">
        <v>14</v>
      </c>
      <c r="J294" s="19">
        <f t="shared" si="79"/>
        <v>1</v>
      </c>
      <c r="K294" s="19">
        <v>45</v>
      </c>
      <c r="L294" s="21">
        <f t="shared" si="92"/>
        <v>45</v>
      </c>
      <c r="M294" s="61">
        <v>30</v>
      </c>
      <c r="N294" s="91">
        <f t="shared" si="80"/>
        <v>75</v>
      </c>
      <c r="O294" s="21">
        <f t="shared" si="93"/>
        <v>102</v>
      </c>
    </row>
    <row r="295" spans="2:15" s="4" customFormat="1" ht="15.75" customHeight="1">
      <c r="B295" s="104">
        <f t="shared" si="76"/>
        <v>287</v>
      </c>
      <c r="C295" s="107" t="s">
        <v>316</v>
      </c>
      <c r="D295" s="24" t="s">
        <v>4</v>
      </c>
      <c r="E295" s="24" t="s">
        <v>4</v>
      </c>
      <c r="F295" s="106">
        <f t="shared" ref="F295" si="94">(0.5*(IF(E295="AB",0,(IF(E295="NA",0,(IF(E295="P",0.6,(IF(E295="M",0.8,(IF(E295="D",1,"False Entry")))))))))))+(0.5*(IF(D295="AB",0,(IF(D295="NA",0,(IF(D295="P",0.6,(IF(D295="M",0.8,(IF(D295="D",1,"False Entry")))))))))))</f>
        <v>0</v>
      </c>
      <c r="G295" s="106">
        <v>30</v>
      </c>
      <c r="H295" s="22">
        <f t="shared" ref="H295" si="95">ROUNDUP(F295*G295,0)</f>
        <v>0</v>
      </c>
      <c r="I295" s="109" t="s">
        <v>4</v>
      </c>
      <c r="J295" s="106">
        <f t="shared" ref="J295" si="96">(IF(I295="AB",0,IF(I295="NA",0,IF(I295="P",0.6,IF(I295="M",0.8,IF(I295="D",1,"False Entry"))))))</f>
        <v>0</v>
      </c>
      <c r="K295" s="106">
        <v>45</v>
      </c>
      <c r="L295" s="106">
        <f t="shared" ref="L295" si="97">J295*K295</f>
        <v>0</v>
      </c>
      <c r="M295" s="110">
        <v>0</v>
      </c>
      <c r="N295" s="111">
        <f t="shared" ref="N295" si="98">ROUNDUP(M295+L295,0)</f>
        <v>0</v>
      </c>
      <c r="O295" s="106">
        <f t="shared" si="93"/>
        <v>0</v>
      </c>
    </row>
    <row r="296" spans="2:15" s="4" customFormat="1" ht="15.75" customHeight="1">
      <c r="B296" s="104">
        <f t="shared" si="76"/>
        <v>288</v>
      </c>
      <c r="C296" s="107" t="s">
        <v>317</v>
      </c>
      <c r="D296" s="24" t="s">
        <v>4</v>
      </c>
      <c r="E296" s="24" t="s">
        <v>4</v>
      </c>
      <c r="F296" s="106">
        <f t="shared" si="78"/>
        <v>0</v>
      </c>
      <c r="G296" s="106">
        <v>30</v>
      </c>
      <c r="H296" s="22">
        <f t="shared" si="87"/>
        <v>0</v>
      </c>
      <c r="I296" s="109" t="s">
        <v>4</v>
      </c>
      <c r="J296" s="106">
        <f t="shared" si="79"/>
        <v>0</v>
      </c>
      <c r="K296" s="106">
        <v>45</v>
      </c>
      <c r="L296" s="106">
        <f t="shared" si="92"/>
        <v>0</v>
      </c>
      <c r="M296" s="110">
        <v>0</v>
      </c>
      <c r="N296" s="111">
        <f t="shared" si="80"/>
        <v>0</v>
      </c>
      <c r="O296" s="106">
        <f t="shared" ref="O296" si="99">H296+N296</f>
        <v>0</v>
      </c>
    </row>
    <row r="297" spans="2:15" ht="15.75" customHeight="1">
      <c r="B297" s="37">
        <f t="shared" si="76"/>
        <v>289</v>
      </c>
      <c r="C297" s="17" t="s">
        <v>318</v>
      </c>
      <c r="D297" s="24" t="s">
        <v>11</v>
      </c>
      <c r="E297" s="24" t="s">
        <v>14</v>
      </c>
      <c r="F297" s="19">
        <f t="shared" ref="F297:F358" si="100">(0.5*(IF(E297="AB",0,(IF(E297="NA",0,(IF(E297="P",0.6,(IF(E297="M",0.8,(IF(E297="D",1,"False Entry")))))))))))+(0.5*(IF(D297="AB",0,(IF(D297="NA",0,(IF(D297="P",0.6,(IF(D297="M",0.8,(IF(D297="D",1,"False Entry")))))))))))</f>
        <v>0.9</v>
      </c>
      <c r="G297" s="19">
        <v>30</v>
      </c>
      <c r="H297" s="30">
        <f t="shared" ref="H297:H358" si="101">ROUNDUP(F297*G297,0)</f>
        <v>27</v>
      </c>
      <c r="I297" s="56" t="s">
        <v>14</v>
      </c>
      <c r="J297" s="19">
        <f t="shared" ref="J297:J358" si="102">(IF(I297="AB",0,IF(I297="NA",0,IF(I297="P",0.6,IF(I297="M",0.8,IF(I297="D",1,"False Entry"))))))</f>
        <v>1</v>
      </c>
      <c r="K297" s="19">
        <v>45</v>
      </c>
      <c r="L297" s="21">
        <f t="shared" si="92"/>
        <v>45</v>
      </c>
      <c r="M297" s="61">
        <v>22</v>
      </c>
      <c r="N297" s="91">
        <f t="shared" ref="N297:N358" si="103">ROUNDUP(M297+L297,0)</f>
        <v>67</v>
      </c>
      <c r="O297" s="21">
        <f t="shared" si="93"/>
        <v>94</v>
      </c>
    </row>
    <row r="298" spans="2:15" ht="15.75" customHeight="1">
      <c r="B298" s="37">
        <f t="shared" si="76"/>
        <v>290</v>
      </c>
      <c r="C298" s="17" t="s">
        <v>319</v>
      </c>
      <c r="D298" s="24" t="s">
        <v>11</v>
      </c>
      <c r="E298" s="24" t="s">
        <v>11</v>
      </c>
      <c r="F298" s="19">
        <f t="shared" si="100"/>
        <v>0.8</v>
      </c>
      <c r="G298" s="19">
        <v>30</v>
      </c>
      <c r="H298" s="30">
        <f t="shared" si="101"/>
        <v>24</v>
      </c>
      <c r="I298" s="56" t="s">
        <v>14</v>
      </c>
      <c r="J298" s="19">
        <f t="shared" si="102"/>
        <v>1</v>
      </c>
      <c r="K298" s="19">
        <v>45</v>
      </c>
      <c r="L298" s="21">
        <f t="shared" ref="L298:L358" si="104">J298*K298</f>
        <v>45</v>
      </c>
      <c r="M298" s="61">
        <v>28</v>
      </c>
      <c r="N298" s="91">
        <f t="shared" si="103"/>
        <v>73</v>
      </c>
      <c r="O298" s="21">
        <f t="shared" si="93"/>
        <v>97</v>
      </c>
    </row>
    <row r="299" spans="2:15" ht="15.75" customHeight="1">
      <c r="B299" s="37">
        <f t="shared" si="76"/>
        <v>291</v>
      </c>
      <c r="C299" s="17" t="s">
        <v>320</v>
      </c>
      <c r="D299" s="24" t="s">
        <v>11</v>
      </c>
      <c r="E299" s="24" t="s">
        <v>14</v>
      </c>
      <c r="F299" s="19">
        <f t="shared" si="100"/>
        <v>0.9</v>
      </c>
      <c r="G299" s="19">
        <v>30</v>
      </c>
      <c r="H299" s="30">
        <f t="shared" si="101"/>
        <v>27</v>
      </c>
      <c r="I299" s="56" t="s">
        <v>14</v>
      </c>
      <c r="J299" s="19">
        <f t="shared" si="102"/>
        <v>1</v>
      </c>
      <c r="K299" s="19">
        <v>45</v>
      </c>
      <c r="L299" s="21">
        <f t="shared" si="104"/>
        <v>45</v>
      </c>
      <c r="M299" s="61">
        <v>30</v>
      </c>
      <c r="N299" s="91">
        <f t="shared" si="103"/>
        <v>75</v>
      </c>
      <c r="O299" s="21">
        <f t="shared" si="93"/>
        <v>102</v>
      </c>
    </row>
    <row r="300" spans="2:15" ht="15.75" customHeight="1">
      <c r="B300" s="37">
        <f t="shared" si="76"/>
        <v>292</v>
      </c>
      <c r="C300" s="17" t="s">
        <v>321</v>
      </c>
      <c r="D300" s="24" t="s">
        <v>11</v>
      </c>
      <c r="E300" s="24" t="s">
        <v>11</v>
      </c>
      <c r="F300" s="19">
        <f t="shared" si="100"/>
        <v>0.8</v>
      </c>
      <c r="G300" s="19">
        <v>30</v>
      </c>
      <c r="H300" s="30">
        <f t="shared" si="101"/>
        <v>24</v>
      </c>
      <c r="I300" s="56" t="s">
        <v>14</v>
      </c>
      <c r="J300" s="19">
        <f t="shared" si="102"/>
        <v>1</v>
      </c>
      <c r="K300" s="19">
        <v>45</v>
      </c>
      <c r="L300" s="21">
        <f t="shared" si="104"/>
        <v>45</v>
      </c>
      <c r="M300" s="61">
        <v>30</v>
      </c>
      <c r="N300" s="91">
        <f t="shared" si="103"/>
        <v>75</v>
      </c>
      <c r="O300" s="21">
        <f t="shared" ref="O300:O358" si="105">H300+N300</f>
        <v>99</v>
      </c>
    </row>
    <row r="301" spans="2:15" ht="15.75" customHeight="1">
      <c r="B301" s="37">
        <f t="shared" si="76"/>
        <v>293</v>
      </c>
      <c r="C301" s="17" t="s">
        <v>322</v>
      </c>
      <c r="D301" s="24" t="s">
        <v>6</v>
      </c>
      <c r="E301" s="24" t="s">
        <v>6</v>
      </c>
      <c r="F301" s="19">
        <f t="shared" si="100"/>
        <v>0</v>
      </c>
      <c r="G301" s="19">
        <v>30</v>
      </c>
      <c r="H301" s="30">
        <f t="shared" si="101"/>
        <v>0</v>
      </c>
      <c r="I301" s="56" t="s">
        <v>11</v>
      </c>
      <c r="J301" s="19">
        <f t="shared" si="102"/>
        <v>0.8</v>
      </c>
      <c r="K301" s="19">
        <v>45</v>
      </c>
      <c r="L301" s="21">
        <f t="shared" si="104"/>
        <v>36</v>
      </c>
      <c r="M301" s="61">
        <v>21</v>
      </c>
      <c r="N301" s="91">
        <f t="shared" si="103"/>
        <v>57</v>
      </c>
      <c r="O301" s="21">
        <f t="shared" si="105"/>
        <v>57</v>
      </c>
    </row>
    <row r="302" spans="2:15" ht="15.75" customHeight="1">
      <c r="B302" s="37">
        <f t="shared" si="76"/>
        <v>294</v>
      </c>
      <c r="C302" s="17" t="s">
        <v>323</v>
      </c>
      <c r="D302" s="24" t="s">
        <v>11</v>
      </c>
      <c r="E302" s="24" t="s">
        <v>8</v>
      </c>
      <c r="F302" s="19">
        <f t="shared" si="100"/>
        <v>0.7</v>
      </c>
      <c r="G302" s="19">
        <v>30</v>
      </c>
      <c r="H302" s="30">
        <f t="shared" si="101"/>
        <v>21</v>
      </c>
      <c r="I302" s="56" t="s">
        <v>14</v>
      </c>
      <c r="J302" s="19">
        <f t="shared" si="102"/>
        <v>1</v>
      </c>
      <c r="K302" s="19">
        <v>45</v>
      </c>
      <c r="L302" s="21">
        <f t="shared" si="104"/>
        <v>45</v>
      </c>
      <c r="M302" s="61">
        <v>30</v>
      </c>
      <c r="N302" s="91">
        <f t="shared" si="103"/>
        <v>75</v>
      </c>
      <c r="O302" s="21">
        <f t="shared" si="105"/>
        <v>96</v>
      </c>
    </row>
    <row r="303" spans="2:15" ht="15.75" customHeight="1">
      <c r="B303" s="37">
        <f t="shared" si="76"/>
        <v>295</v>
      </c>
      <c r="C303" s="17" t="s">
        <v>324</v>
      </c>
      <c r="D303" s="24" t="s">
        <v>14</v>
      </c>
      <c r="E303" s="24" t="s">
        <v>14</v>
      </c>
      <c r="F303" s="19">
        <f t="shared" si="100"/>
        <v>1</v>
      </c>
      <c r="G303" s="19">
        <v>30</v>
      </c>
      <c r="H303" s="30">
        <f t="shared" si="101"/>
        <v>30</v>
      </c>
      <c r="I303" s="56" t="s">
        <v>14</v>
      </c>
      <c r="J303" s="19">
        <f t="shared" si="102"/>
        <v>1</v>
      </c>
      <c r="K303" s="19">
        <v>45</v>
      </c>
      <c r="L303" s="21">
        <f t="shared" si="104"/>
        <v>45</v>
      </c>
      <c r="M303" s="61">
        <v>30</v>
      </c>
      <c r="N303" s="91">
        <f t="shared" si="103"/>
        <v>75</v>
      </c>
      <c r="O303" s="21">
        <f t="shared" si="105"/>
        <v>105</v>
      </c>
    </row>
    <row r="304" spans="2:15" ht="15.75" customHeight="1">
      <c r="B304" s="37">
        <f t="shared" si="76"/>
        <v>296</v>
      </c>
      <c r="C304" s="17" t="s">
        <v>325</v>
      </c>
      <c r="D304" s="24" t="s">
        <v>11</v>
      </c>
      <c r="E304" s="24" t="s">
        <v>11</v>
      </c>
      <c r="F304" s="19">
        <f t="shared" si="100"/>
        <v>0.8</v>
      </c>
      <c r="G304" s="19">
        <v>30</v>
      </c>
      <c r="H304" s="30">
        <f t="shared" si="101"/>
        <v>24</v>
      </c>
      <c r="I304" s="56" t="s">
        <v>14</v>
      </c>
      <c r="J304" s="19">
        <f t="shared" si="102"/>
        <v>1</v>
      </c>
      <c r="K304" s="19">
        <v>45</v>
      </c>
      <c r="L304" s="21">
        <f t="shared" si="104"/>
        <v>45</v>
      </c>
      <c r="M304" s="61">
        <v>7</v>
      </c>
      <c r="N304" s="91">
        <f t="shared" si="103"/>
        <v>52</v>
      </c>
      <c r="O304" s="21">
        <f t="shared" si="105"/>
        <v>76</v>
      </c>
    </row>
    <row r="305" spans="2:15" ht="15.75" customHeight="1">
      <c r="B305" s="37">
        <f t="shared" si="76"/>
        <v>297</v>
      </c>
      <c r="C305" s="17" t="s">
        <v>326</v>
      </c>
      <c r="D305" s="24" t="s">
        <v>11</v>
      </c>
      <c r="E305" s="24" t="s">
        <v>14</v>
      </c>
      <c r="F305" s="19">
        <f t="shared" si="100"/>
        <v>0.9</v>
      </c>
      <c r="G305" s="19">
        <v>30</v>
      </c>
      <c r="H305" s="30">
        <f t="shared" si="101"/>
        <v>27</v>
      </c>
      <c r="I305" s="56" t="s">
        <v>14</v>
      </c>
      <c r="J305" s="19">
        <f t="shared" si="102"/>
        <v>1</v>
      </c>
      <c r="K305" s="19">
        <v>45</v>
      </c>
      <c r="L305" s="21">
        <f t="shared" si="104"/>
        <v>45</v>
      </c>
      <c r="M305" s="61">
        <v>30</v>
      </c>
      <c r="N305" s="91">
        <f t="shared" si="103"/>
        <v>75</v>
      </c>
      <c r="O305" s="21">
        <f t="shared" si="105"/>
        <v>102</v>
      </c>
    </row>
    <row r="306" spans="2:15" ht="15.75" customHeight="1">
      <c r="B306" s="37">
        <f t="shared" si="76"/>
        <v>298</v>
      </c>
      <c r="C306" s="17" t="s">
        <v>327</v>
      </c>
      <c r="D306" s="24" t="s">
        <v>11</v>
      </c>
      <c r="E306" s="24" t="s">
        <v>8</v>
      </c>
      <c r="F306" s="19">
        <f t="shared" si="100"/>
        <v>0.7</v>
      </c>
      <c r="G306" s="19">
        <v>30</v>
      </c>
      <c r="H306" s="30">
        <f t="shared" si="101"/>
        <v>21</v>
      </c>
      <c r="I306" s="56" t="s">
        <v>14</v>
      </c>
      <c r="J306" s="19">
        <f t="shared" si="102"/>
        <v>1</v>
      </c>
      <c r="K306" s="19">
        <v>45</v>
      </c>
      <c r="L306" s="21">
        <f t="shared" si="104"/>
        <v>45</v>
      </c>
      <c r="M306" s="61">
        <v>24</v>
      </c>
      <c r="N306" s="91">
        <f t="shared" si="103"/>
        <v>69</v>
      </c>
      <c r="O306" s="21">
        <f t="shared" si="105"/>
        <v>90</v>
      </c>
    </row>
    <row r="307" spans="2:15" ht="15.75" customHeight="1">
      <c r="B307" s="37">
        <f t="shared" si="76"/>
        <v>299</v>
      </c>
      <c r="C307" s="17" t="s">
        <v>328</v>
      </c>
      <c r="D307" s="24" t="s">
        <v>8</v>
      </c>
      <c r="E307" s="24" t="s">
        <v>8</v>
      </c>
      <c r="F307" s="19">
        <f t="shared" si="100"/>
        <v>0.6</v>
      </c>
      <c r="G307" s="19">
        <v>30</v>
      </c>
      <c r="H307" s="30">
        <f t="shared" si="101"/>
        <v>18</v>
      </c>
      <c r="I307" s="56" t="s">
        <v>14</v>
      </c>
      <c r="J307" s="19">
        <f t="shared" si="102"/>
        <v>1</v>
      </c>
      <c r="K307" s="19">
        <v>45</v>
      </c>
      <c r="L307" s="21">
        <f t="shared" si="104"/>
        <v>45</v>
      </c>
      <c r="M307" s="61">
        <v>30</v>
      </c>
      <c r="N307" s="91">
        <f t="shared" si="103"/>
        <v>75</v>
      </c>
      <c r="O307" s="21">
        <f t="shared" si="105"/>
        <v>93</v>
      </c>
    </row>
    <row r="308" spans="2:15" ht="15.75" customHeight="1">
      <c r="B308" s="37">
        <f t="shared" si="76"/>
        <v>300</v>
      </c>
      <c r="C308" s="17" t="s">
        <v>329</v>
      </c>
      <c r="D308" s="24" t="s">
        <v>11</v>
      </c>
      <c r="E308" s="24" t="s">
        <v>6</v>
      </c>
      <c r="F308" s="19">
        <f t="shared" si="100"/>
        <v>0.4</v>
      </c>
      <c r="G308" s="19">
        <v>30</v>
      </c>
      <c r="H308" s="30">
        <f t="shared" si="101"/>
        <v>12</v>
      </c>
      <c r="I308" s="56" t="s">
        <v>14</v>
      </c>
      <c r="J308" s="19">
        <f t="shared" si="102"/>
        <v>1</v>
      </c>
      <c r="K308" s="19">
        <v>45</v>
      </c>
      <c r="L308" s="21">
        <f t="shared" si="104"/>
        <v>45</v>
      </c>
      <c r="M308" s="61">
        <v>20</v>
      </c>
      <c r="N308" s="91">
        <f t="shared" si="103"/>
        <v>65</v>
      </c>
      <c r="O308" s="21">
        <f t="shared" si="105"/>
        <v>77</v>
      </c>
    </row>
    <row r="309" spans="2:15" ht="15.75" customHeight="1">
      <c r="B309" s="37">
        <f t="shared" si="76"/>
        <v>301</v>
      </c>
      <c r="C309" s="17" t="s">
        <v>330</v>
      </c>
      <c r="D309" s="24" t="s">
        <v>11</v>
      </c>
      <c r="E309" s="24" t="s">
        <v>8</v>
      </c>
      <c r="F309" s="19">
        <f t="shared" si="100"/>
        <v>0.7</v>
      </c>
      <c r="G309" s="19">
        <v>30</v>
      </c>
      <c r="H309" s="30">
        <f t="shared" si="101"/>
        <v>21</v>
      </c>
      <c r="I309" s="56" t="s">
        <v>11</v>
      </c>
      <c r="J309" s="19">
        <f t="shared" si="102"/>
        <v>0.8</v>
      </c>
      <c r="K309" s="19">
        <v>45</v>
      </c>
      <c r="L309" s="21">
        <f t="shared" si="104"/>
        <v>36</v>
      </c>
      <c r="M309" s="61">
        <v>29</v>
      </c>
      <c r="N309" s="91">
        <f t="shared" si="103"/>
        <v>65</v>
      </c>
      <c r="O309" s="21">
        <f t="shared" si="105"/>
        <v>86</v>
      </c>
    </row>
    <row r="310" spans="2:15" ht="15.75" customHeight="1">
      <c r="B310" s="37">
        <f t="shared" si="76"/>
        <v>302</v>
      </c>
      <c r="C310" s="17" t="s">
        <v>331</v>
      </c>
      <c r="D310" s="24" t="s">
        <v>11</v>
      </c>
      <c r="E310" s="24" t="s">
        <v>11</v>
      </c>
      <c r="F310" s="19">
        <f t="shared" si="100"/>
        <v>0.8</v>
      </c>
      <c r="G310" s="19">
        <v>30</v>
      </c>
      <c r="H310" s="30">
        <f t="shared" si="101"/>
        <v>24</v>
      </c>
      <c r="I310" s="56" t="s">
        <v>11</v>
      </c>
      <c r="J310" s="19">
        <f t="shared" si="102"/>
        <v>0.8</v>
      </c>
      <c r="K310" s="19">
        <v>45</v>
      </c>
      <c r="L310" s="21">
        <f t="shared" si="104"/>
        <v>36</v>
      </c>
      <c r="M310" s="61">
        <v>20</v>
      </c>
      <c r="N310" s="91">
        <f t="shared" si="103"/>
        <v>56</v>
      </c>
      <c r="O310" s="21">
        <f t="shared" si="105"/>
        <v>80</v>
      </c>
    </row>
    <row r="311" spans="2:15" ht="15.75" customHeight="1">
      <c r="B311" s="37">
        <f t="shared" si="76"/>
        <v>303</v>
      </c>
      <c r="C311" s="17" t="s">
        <v>332</v>
      </c>
      <c r="D311" s="24" t="s">
        <v>11</v>
      </c>
      <c r="E311" s="24" t="s">
        <v>11</v>
      </c>
      <c r="F311" s="19">
        <f t="shared" si="100"/>
        <v>0.8</v>
      </c>
      <c r="G311" s="19">
        <v>30</v>
      </c>
      <c r="H311" s="30">
        <f t="shared" si="101"/>
        <v>24</v>
      </c>
      <c r="I311" s="56" t="s">
        <v>14</v>
      </c>
      <c r="J311" s="19">
        <f t="shared" si="102"/>
        <v>1</v>
      </c>
      <c r="K311" s="19">
        <v>45</v>
      </c>
      <c r="L311" s="21">
        <f t="shared" si="104"/>
        <v>45</v>
      </c>
      <c r="M311" s="61">
        <v>30</v>
      </c>
      <c r="N311" s="91">
        <f t="shared" si="103"/>
        <v>75</v>
      </c>
      <c r="O311" s="21">
        <f t="shared" si="105"/>
        <v>99</v>
      </c>
    </row>
    <row r="312" spans="2:15" s="4" customFormat="1" ht="15.75" customHeight="1">
      <c r="B312" s="104">
        <f t="shared" si="76"/>
        <v>304</v>
      </c>
      <c r="C312" s="105" t="s">
        <v>333</v>
      </c>
      <c r="D312" s="24" t="s">
        <v>6</v>
      </c>
      <c r="E312" s="24" t="s">
        <v>8</v>
      </c>
      <c r="F312" s="106">
        <f t="shared" si="100"/>
        <v>0.3</v>
      </c>
      <c r="G312" s="106">
        <v>30</v>
      </c>
      <c r="H312" s="22">
        <f t="shared" si="101"/>
        <v>9</v>
      </c>
      <c r="I312" s="109" t="s">
        <v>11</v>
      </c>
      <c r="J312" s="106">
        <f t="shared" si="102"/>
        <v>0.8</v>
      </c>
      <c r="K312" s="106">
        <v>45</v>
      </c>
      <c r="L312" s="106">
        <f t="shared" si="104"/>
        <v>36</v>
      </c>
      <c r="M312" s="110">
        <v>0</v>
      </c>
      <c r="N312" s="111">
        <f t="shared" si="103"/>
        <v>36</v>
      </c>
      <c r="O312" s="106">
        <f t="shared" si="105"/>
        <v>45</v>
      </c>
    </row>
    <row r="313" spans="2:15" s="4" customFormat="1" ht="15.75" customHeight="1">
      <c r="B313" s="104">
        <f t="shared" si="76"/>
        <v>305</v>
      </c>
      <c r="C313" s="105" t="s">
        <v>334</v>
      </c>
      <c r="D313" s="24" t="s">
        <v>4</v>
      </c>
      <c r="E313" s="24" t="s">
        <v>4</v>
      </c>
      <c r="F313" s="106">
        <f t="shared" si="100"/>
        <v>0</v>
      </c>
      <c r="G313" s="106">
        <v>30</v>
      </c>
      <c r="H313" s="22">
        <f t="shared" si="101"/>
        <v>0</v>
      </c>
      <c r="I313" s="109" t="s">
        <v>4</v>
      </c>
      <c r="J313" s="106">
        <f t="shared" si="102"/>
        <v>0</v>
      </c>
      <c r="K313" s="106">
        <v>45</v>
      </c>
      <c r="L313" s="106">
        <f t="shared" si="104"/>
        <v>0</v>
      </c>
      <c r="M313" s="110">
        <v>0</v>
      </c>
      <c r="N313" s="111">
        <f t="shared" si="103"/>
        <v>0</v>
      </c>
      <c r="O313" s="106">
        <f t="shared" si="105"/>
        <v>0</v>
      </c>
    </row>
    <row r="314" spans="2:15" ht="15.75" customHeight="1">
      <c r="B314" s="37">
        <f t="shared" ref="B314:B358" si="106">ROW(B306)</f>
        <v>306</v>
      </c>
      <c r="C314" s="17" t="s">
        <v>335</v>
      </c>
      <c r="D314" s="24" t="s">
        <v>11</v>
      </c>
      <c r="E314" s="24" t="s">
        <v>6</v>
      </c>
      <c r="F314" s="19">
        <f t="shared" si="100"/>
        <v>0.4</v>
      </c>
      <c r="G314" s="19">
        <v>30</v>
      </c>
      <c r="H314" s="30">
        <f t="shared" si="101"/>
        <v>12</v>
      </c>
      <c r="I314" s="56" t="s">
        <v>14</v>
      </c>
      <c r="J314" s="19">
        <f t="shared" si="102"/>
        <v>1</v>
      </c>
      <c r="K314" s="19">
        <v>45</v>
      </c>
      <c r="L314" s="21">
        <f t="shared" si="104"/>
        <v>45</v>
      </c>
      <c r="M314" s="61">
        <v>20</v>
      </c>
      <c r="N314" s="91">
        <f t="shared" si="103"/>
        <v>65</v>
      </c>
      <c r="O314" s="21">
        <f t="shared" si="105"/>
        <v>77</v>
      </c>
    </row>
    <row r="315" spans="2:15" ht="15.75" customHeight="1">
      <c r="B315" s="37">
        <f t="shared" si="106"/>
        <v>307</v>
      </c>
      <c r="C315" s="17" t="s">
        <v>336</v>
      </c>
      <c r="D315" s="24" t="s">
        <v>11</v>
      </c>
      <c r="E315" s="24" t="s">
        <v>14</v>
      </c>
      <c r="F315" s="19">
        <f t="shared" si="100"/>
        <v>0.9</v>
      </c>
      <c r="G315" s="19">
        <v>30</v>
      </c>
      <c r="H315" s="30">
        <f t="shared" si="101"/>
        <v>27</v>
      </c>
      <c r="I315" s="56" t="s">
        <v>14</v>
      </c>
      <c r="J315" s="19">
        <f t="shared" si="102"/>
        <v>1</v>
      </c>
      <c r="K315" s="19">
        <v>45</v>
      </c>
      <c r="L315" s="21">
        <f t="shared" si="104"/>
        <v>45</v>
      </c>
      <c r="M315" s="61">
        <v>30</v>
      </c>
      <c r="N315" s="91">
        <f t="shared" si="103"/>
        <v>75</v>
      </c>
      <c r="O315" s="21">
        <f t="shared" si="105"/>
        <v>102</v>
      </c>
    </row>
    <row r="316" spans="2:15" ht="15.75" customHeight="1">
      <c r="B316" s="37">
        <f t="shared" si="106"/>
        <v>308</v>
      </c>
      <c r="C316" s="17" t="s">
        <v>337</v>
      </c>
      <c r="D316" s="24" t="s">
        <v>11</v>
      </c>
      <c r="E316" s="24" t="s">
        <v>14</v>
      </c>
      <c r="F316" s="19">
        <f t="shared" si="100"/>
        <v>0.9</v>
      </c>
      <c r="G316" s="19">
        <v>30</v>
      </c>
      <c r="H316" s="30">
        <f t="shared" si="101"/>
        <v>27</v>
      </c>
      <c r="I316" s="56" t="s">
        <v>11</v>
      </c>
      <c r="J316" s="19">
        <f t="shared" si="102"/>
        <v>0.8</v>
      </c>
      <c r="K316" s="19">
        <v>45</v>
      </c>
      <c r="L316" s="21">
        <f t="shared" si="104"/>
        <v>36</v>
      </c>
      <c r="M316" s="61">
        <v>30</v>
      </c>
      <c r="N316" s="91">
        <f t="shared" si="103"/>
        <v>66</v>
      </c>
      <c r="O316" s="21">
        <f t="shared" si="105"/>
        <v>93</v>
      </c>
    </row>
    <row r="317" spans="2:15" s="4" customFormat="1" ht="15.75" customHeight="1">
      <c r="B317" s="104">
        <f t="shared" si="106"/>
        <v>309</v>
      </c>
      <c r="C317" s="105" t="s">
        <v>338</v>
      </c>
      <c r="D317" s="24" t="s">
        <v>4</v>
      </c>
      <c r="E317" s="24" t="s">
        <v>4</v>
      </c>
      <c r="F317" s="106">
        <f t="shared" si="100"/>
        <v>0</v>
      </c>
      <c r="G317" s="106">
        <v>30</v>
      </c>
      <c r="H317" s="22">
        <f t="shared" si="101"/>
        <v>0</v>
      </c>
      <c r="I317" s="109" t="s">
        <v>4</v>
      </c>
      <c r="J317" s="106">
        <f t="shared" si="102"/>
        <v>0</v>
      </c>
      <c r="K317" s="106">
        <v>45</v>
      </c>
      <c r="L317" s="106">
        <f t="shared" si="104"/>
        <v>0</v>
      </c>
      <c r="M317" s="110">
        <v>0</v>
      </c>
      <c r="N317" s="111">
        <f t="shared" si="103"/>
        <v>0</v>
      </c>
      <c r="O317" s="106">
        <f t="shared" si="105"/>
        <v>0</v>
      </c>
    </row>
    <row r="318" spans="2:15" ht="15.75" customHeight="1">
      <c r="B318" s="37">
        <f t="shared" si="106"/>
        <v>310</v>
      </c>
      <c r="C318" s="17" t="s">
        <v>339</v>
      </c>
      <c r="D318" s="24" t="s">
        <v>11</v>
      </c>
      <c r="E318" s="24" t="s">
        <v>11</v>
      </c>
      <c r="F318" s="19">
        <f t="shared" si="100"/>
        <v>0.8</v>
      </c>
      <c r="G318" s="19">
        <v>30</v>
      </c>
      <c r="H318" s="30">
        <f t="shared" si="101"/>
        <v>24</v>
      </c>
      <c r="I318" s="56" t="s">
        <v>14</v>
      </c>
      <c r="J318" s="19">
        <f t="shared" si="102"/>
        <v>1</v>
      </c>
      <c r="K318" s="19">
        <v>45</v>
      </c>
      <c r="L318" s="21">
        <f t="shared" si="104"/>
        <v>45</v>
      </c>
      <c r="M318" s="61">
        <v>25</v>
      </c>
      <c r="N318" s="91">
        <f t="shared" si="103"/>
        <v>70</v>
      </c>
      <c r="O318" s="21">
        <f t="shared" si="105"/>
        <v>94</v>
      </c>
    </row>
    <row r="319" spans="2:15" ht="15.75" customHeight="1">
      <c r="B319" s="37">
        <f t="shared" si="106"/>
        <v>311</v>
      </c>
      <c r="C319" s="17" t="s">
        <v>340</v>
      </c>
      <c r="D319" s="24" t="s">
        <v>11</v>
      </c>
      <c r="E319" s="24" t="s">
        <v>11</v>
      </c>
      <c r="F319" s="19">
        <f t="shared" si="100"/>
        <v>0.8</v>
      </c>
      <c r="G319" s="19">
        <v>30</v>
      </c>
      <c r="H319" s="30">
        <f t="shared" si="101"/>
        <v>24</v>
      </c>
      <c r="I319" s="56" t="s">
        <v>14</v>
      </c>
      <c r="J319" s="19">
        <f t="shared" si="102"/>
        <v>1</v>
      </c>
      <c r="K319" s="19">
        <v>45</v>
      </c>
      <c r="L319" s="21">
        <f t="shared" si="104"/>
        <v>45</v>
      </c>
      <c r="M319" s="61">
        <v>20</v>
      </c>
      <c r="N319" s="91">
        <f t="shared" si="103"/>
        <v>65</v>
      </c>
      <c r="O319" s="21">
        <f t="shared" si="105"/>
        <v>89</v>
      </c>
    </row>
    <row r="320" spans="2:15" ht="15.75" customHeight="1">
      <c r="B320" s="37">
        <f t="shared" si="106"/>
        <v>312</v>
      </c>
      <c r="C320" s="17" t="s">
        <v>341</v>
      </c>
      <c r="D320" s="24" t="s">
        <v>11</v>
      </c>
      <c r="E320" s="24" t="s">
        <v>14</v>
      </c>
      <c r="F320" s="19">
        <f t="shared" si="100"/>
        <v>0.9</v>
      </c>
      <c r="G320" s="19">
        <v>30</v>
      </c>
      <c r="H320" s="30">
        <f t="shared" si="101"/>
        <v>27</v>
      </c>
      <c r="I320" s="56" t="s">
        <v>14</v>
      </c>
      <c r="J320" s="19">
        <f t="shared" si="102"/>
        <v>1</v>
      </c>
      <c r="K320" s="19">
        <v>45</v>
      </c>
      <c r="L320" s="21">
        <f t="shared" si="104"/>
        <v>45</v>
      </c>
      <c r="M320" s="61">
        <v>30</v>
      </c>
      <c r="N320" s="91">
        <f t="shared" si="103"/>
        <v>75</v>
      </c>
      <c r="O320" s="21">
        <f t="shared" si="105"/>
        <v>102</v>
      </c>
    </row>
    <row r="321" spans="2:15" s="4" customFormat="1" ht="15.75" customHeight="1">
      <c r="B321" s="104">
        <f t="shared" si="106"/>
        <v>313</v>
      </c>
      <c r="C321" s="105" t="s">
        <v>342</v>
      </c>
      <c r="D321" s="24" t="s">
        <v>4</v>
      </c>
      <c r="E321" s="24" t="s">
        <v>4</v>
      </c>
      <c r="F321" s="106">
        <f t="shared" si="100"/>
        <v>0</v>
      </c>
      <c r="G321" s="106">
        <v>30</v>
      </c>
      <c r="H321" s="22">
        <f t="shared" si="101"/>
        <v>0</v>
      </c>
      <c r="I321" s="109" t="s">
        <v>4</v>
      </c>
      <c r="J321" s="106">
        <f t="shared" si="102"/>
        <v>0</v>
      </c>
      <c r="K321" s="106">
        <v>45</v>
      </c>
      <c r="L321" s="106">
        <f t="shared" si="104"/>
        <v>0</v>
      </c>
      <c r="M321" s="110">
        <v>0</v>
      </c>
      <c r="N321" s="111">
        <f t="shared" si="103"/>
        <v>0</v>
      </c>
      <c r="O321" s="106">
        <f t="shared" si="105"/>
        <v>0</v>
      </c>
    </row>
    <row r="322" spans="2:15" ht="15.75" customHeight="1">
      <c r="B322" s="37">
        <f t="shared" si="106"/>
        <v>314</v>
      </c>
      <c r="C322" s="17" t="s">
        <v>343</v>
      </c>
      <c r="D322" s="24" t="s">
        <v>11</v>
      </c>
      <c r="E322" s="24" t="s">
        <v>14</v>
      </c>
      <c r="F322" s="19">
        <f t="shared" si="100"/>
        <v>0.9</v>
      </c>
      <c r="G322" s="19">
        <v>30</v>
      </c>
      <c r="H322" s="30">
        <f t="shared" si="101"/>
        <v>27</v>
      </c>
      <c r="I322" s="56" t="s">
        <v>14</v>
      </c>
      <c r="J322" s="19">
        <f t="shared" si="102"/>
        <v>1</v>
      </c>
      <c r="K322" s="19">
        <v>45</v>
      </c>
      <c r="L322" s="21">
        <f t="shared" si="104"/>
        <v>45</v>
      </c>
      <c r="M322" s="61">
        <v>30</v>
      </c>
      <c r="N322" s="91">
        <f t="shared" si="103"/>
        <v>75</v>
      </c>
      <c r="O322" s="21">
        <f t="shared" si="105"/>
        <v>102</v>
      </c>
    </row>
    <row r="323" spans="2:15" ht="15.75" customHeight="1">
      <c r="B323" s="37">
        <f t="shared" si="106"/>
        <v>315</v>
      </c>
      <c r="C323" s="17" t="s">
        <v>344</v>
      </c>
      <c r="D323" s="24" t="s">
        <v>8</v>
      </c>
      <c r="E323" s="24" t="s">
        <v>11</v>
      </c>
      <c r="F323" s="19">
        <f t="shared" si="100"/>
        <v>0.7</v>
      </c>
      <c r="G323" s="19">
        <v>30</v>
      </c>
      <c r="H323" s="30">
        <f t="shared" si="101"/>
        <v>21</v>
      </c>
      <c r="I323" s="56" t="s">
        <v>14</v>
      </c>
      <c r="J323" s="19">
        <f t="shared" si="102"/>
        <v>1</v>
      </c>
      <c r="K323" s="19">
        <v>45</v>
      </c>
      <c r="L323" s="21">
        <f t="shared" si="104"/>
        <v>45</v>
      </c>
      <c r="M323" s="61">
        <v>20</v>
      </c>
      <c r="N323" s="91">
        <f t="shared" si="103"/>
        <v>65</v>
      </c>
      <c r="O323" s="21">
        <f t="shared" si="105"/>
        <v>86</v>
      </c>
    </row>
    <row r="324" spans="2:15" s="4" customFormat="1" ht="15.75" customHeight="1">
      <c r="B324" s="104">
        <f t="shared" si="106"/>
        <v>316</v>
      </c>
      <c r="C324" s="105" t="s">
        <v>345</v>
      </c>
      <c r="D324" s="24" t="s">
        <v>8</v>
      </c>
      <c r="E324" s="24" t="s">
        <v>6</v>
      </c>
      <c r="F324" s="106">
        <f t="shared" si="100"/>
        <v>0.3</v>
      </c>
      <c r="G324" s="106">
        <v>30</v>
      </c>
      <c r="H324" s="22">
        <f t="shared" si="101"/>
        <v>9</v>
      </c>
      <c r="I324" s="109" t="s">
        <v>11</v>
      </c>
      <c r="J324" s="106">
        <f t="shared" si="102"/>
        <v>0.8</v>
      </c>
      <c r="K324" s="106">
        <v>45</v>
      </c>
      <c r="L324" s="106">
        <f t="shared" si="104"/>
        <v>36</v>
      </c>
      <c r="M324" s="110">
        <v>30</v>
      </c>
      <c r="N324" s="111">
        <f t="shared" si="103"/>
        <v>66</v>
      </c>
      <c r="O324" s="106">
        <f t="shared" si="105"/>
        <v>75</v>
      </c>
    </row>
    <row r="325" spans="2:15" s="1" customFormat="1" ht="15.75" customHeight="1">
      <c r="B325" s="36">
        <f t="shared" si="106"/>
        <v>317</v>
      </c>
      <c r="C325" s="76" t="s">
        <v>346</v>
      </c>
      <c r="D325" s="24" t="s">
        <v>6</v>
      </c>
      <c r="E325" s="24" t="s">
        <v>6</v>
      </c>
      <c r="F325" s="29">
        <f t="shared" si="100"/>
        <v>0</v>
      </c>
      <c r="G325" s="29">
        <v>30</v>
      </c>
      <c r="H325" s="30">
        <f t="shared" si="101"/>
        <v>0</v>
      </c>
      <c r="I325" s="18" t="s">
        <v>4</v>
      </c>
      <c r="J325" s="29">
        <f t="shared" si="102"/>
        <v>0</v>
      </c>
      <c r="K325" s="29">
        <v>45</v>
      </c>
      <c r="L325" s="69">
        <f t="shared" si="104"/>
        <v>0</v>
      </c>
      <c r="M325" s="67">
        <v>28</v>
      </c>
      <c r="N325" s="91">
        <f t="shared" si="103"/>
        <v>28</v>
      </c>
      <c r="O325" s="69">
        <f t="shared" si="105"/>
        <v>28</v>
      </c>
    </row>
    <row r="326" spans="2:15" s="4" customFormat="1" ht="15.75" customHeight="1">
      <c r="B326" s="104">
        <f t="shared" si="106"/>
        <v>318</v>
      </c>
      <c r="C326" s="105" t="s">
        <v>347</v>
      </c>
      <c r="D326" s="24" t="s">
        <v>11</v>
      </c>
      <c r="E326" s="24" t="s">
        <v>6</v>
      </c>
      <c r="F326" s="106">
        <f t="shared" si="100"/>
        <v>0.4</v>
      </c>
      <c r="G326" s="106">
        <v>30</v>
      </c>
      <c r="H326" s="22">
        <f t="shared" si="101"/>
        <v>12</v>
      </c>
      <c r="I326" s="109" t="s">
        <v>14</v>
      </c>
      <c r="J326" s="106">
        <f t="shared" si="102"/>
        <v>1</v>
      </c>
      <c r="K326" s="106">
        <v>45</v>
      </c>
      <c r="L326" s="106">
        <f t="shared" si="104"/>
        <v>45</v>
      </c>
      <c r="M326" s="110">
        <v>0</v>
      </c>
      <c r="N326" s="111">
        <f t="shared" si="103"/>
        <v>45</v>
      </c>
      <c r="O326" s="106">
        <f t="shared" si="105"/>
        <v>57</v>
      </c>
    </row>
    <row r="327" spans="2:15" ht="15.75" customHeight="1">
      <c r="B327" s="16">
        <f t="shared" si="106"/>
        <v>319</v>
      </c>
      <c r="C327" s="17" t="s">
        <v>348</v>
      </c>
      <c r="D327" s="24" t="s">
        <v>11</v>
      </c>
      <c r="E327" s="24" t="s">
        <v>11</v>
      </c>
      <c r="F327" s="19">
        <f t="shared" si="100"/>
        <v>0.8</v>
      </c>
      <c r="G327" s="19">
        <v>30</v>
      </c>
      <c r="H327" s="30">
        <f t="shared" si="101"/>
        <v>24</v>
      </c>
      <c r="I327" s="56" t="s">
        <v>14</v>
      </c>
      <c r="J327" s="19">
        <f t="shared" si="102"/>
        <v>1</v>
      </c>
      <c r="K327" s="19">
        <v>45</v>
      </c>
      <c r="L327" s="21">
        <f t="shared" si="104"/>
        <v>45</v>
      </c>
      <c r="M327" s="61">
        <v>30</v>
      </c>
      <c r="N327" s="91">
        <f t="shared" si="103"/>
        <v>75</v>
      </c>
      <c r="O327" s="21">
        <f t="shared" si="105"/>
        <v>99</v>
      </c>
    </row>
    <row r="328" spans="2:15" ht="15.75" customHeight="1">
      <c r="B328" s="16">
        <f t="shared" si="106"/>
        <v>320</v>
      </c>
      <c r="C328" s="17" t="s">
        <v>349</v>
      </c>
      <c r="D328" s="24" t="s">
        <v>11</v>
      </c>
      <c r="E328" s="24" t="s">
        <v>11</v>
      </c>
      <c r="F328" s="19">
        <f t="shared" si="100"/>
        <v>0.8</v>
      </c>
      <c r="G328" s="19">
        <v>30</v>
      </c>
      <c r="H328" s="30">
        <f t="shared" si="101"/>
        <v>24</v>
      </c>
      <c r="I328" s="56" t="s">
        <v>14</v>
      </c>
      <c r="J328" s="19">
        <f t="shared" si="102"/>
        <v>1</v>
      </c>
      <c r="K328" s="19">
        <v>45</v>
      </c>
      <c r="L328" s="21">
        <f t="shared" si="104"/>
        <v>45</v>
      </c>
      <c r="M328" s="61">
        <v>30</v>
      </c>
      <c r="N328" s="91">
        <f t="shared" si="103"/>
        <v>75</v>
      </c>
      <c r="O328" s="21">
        <f t="shared" si="105"/>
        <v>99</v>
      </c>
    </row>
    <row r="329" spans="2:15" ht="15.75" customHeight="1">
      <c r="B329" s="16">
        <f t="shared" si="106"/>
        <v>321</v>
      </c>
      <c r="C329" s="17" t="s">
        <v>350</v>
      </c>
      <c r="D329" s="24" t="s">
        <v>11</v>
      </c>
      <c r="E329" s="24" t="s">
        <v>11</v>
      </c>
      <c r="F329" s="19">
        <f t="shared" si="100"/>
        <v>0.8</v>
      </c>
      <c r="G329" s="19">
        <v>30</v>
      </c>
      <c r="H329" s="30">
        <f t="shared" si="101"/>
        <v>24</v>
      </c>
      <c r="I329" s="56" t="s">
        <v>11</v>
      </c>
      <c r="J329" s="19">
        <f t="shared" si="102"/>
        <v>0.8</v>
      </c>
      <c r="K329" s="19">
        <v>45</v>
      </c>
      <c r="L329" s="21">
        <f t="shared" si="104"/>
        <v>36</v>
      </c>
      <c r="M329" s="61">
        <v>30</v>
      </c>
      <c r="N329" s="91">
        <f t="shared" si="103"/>
        <v>66</v>
      </c>
      <c r="O329" s="21">
        <f t="shared" si="105"/>
        <v>90</v>
      </c>
    </row>
    <row r="330" spans="2:15" ht="15.75" customHeight="1">
      <c r="B330" s="16">
        <f t="shared" si="106"/>
        <v>322</v>
      </c>
      <c r="C330" s="17" t="s">
        <v>351</v>
      </c>
      <c r="D330" s="24" t="s">
        <v>11</v>
      </c>
      <c r="E330" s="24" t="s">
        <v>11</v>
      </c>
      <c r="F330" s="19">
        <f t="shared" si="100"/>
        <v>0.8</v>
      </c>
      <c r="G330" s="19">
        <v>30</v>
      </c>
      <c r="H330" s="30">
        <f t="shared" si="101"/>
        <v>24</v>
      </c>
      <c r="I330" s="56" t="s">
        <v>14</v>
      </c>
      <c r="J330" s="19">
        <f t="shared" si="102"/>
        <v>1</v>
      </c>
      <c r="K330" s="19">
        <v>45</v>
      </c>
      <c r="L330" s="21">
        <f t="shared" si="104"/>
        <v>45</v>
      </c>
      <c r="M330" s="61">
        <v>30</v>
      </c>
      <c r="N330" s="91">
        <f t="shared" si="103"/>
        <v>75</v>
      </c>
      <c r="O330" s="21">
        <f t="shared" si="105"/>
        <v>99</v>
      </c>
    </row>
    <row r="331" spans="2:15" s="4" customFormat="1" ht="15.75" customHeight="1">
      <c r="B331" s="104">
        <f t="shared" si="106"/>
        <v>323</v>
      </c>
      <c r="C331" s="105" t="s">
        <v>352</v>
      </c>
      <c r="D331" s="24" t="s">
        <v>11</v>
      </c>
      <c r="E331" s="24" t="s">
        <v>8</v>
      </c>
      <c r="F331" s="106">
        <f t="shared" si="100"/>
        <v>0.7</v>
      </c>
      <c r="G331" s="106">
        <v>30</v>
      </c>
      <c r="H331" s="22">
        <f t="shared" si="101"/>
        <v>21</v>
      </c>
      <c r="I331" s="109" t="s">
        <v>11</v>
      </c>
      <c r="J331" s="106">
        <f t="shared" si="102"/>
        <v>0.8</v>
      </c>
      <c r="K331" s="106">
        <v>45</v>
      </c>
      <c r="L331" s="106">
        <f t="shared" si="104"/>
        <v>36</v>
      </c>
      <c r="M331" s="110">
        <v>25</v>
      </c>
      <c r="N331" s="111">
        <f t="shared" si="103"/>
        <v>61</v>
      </c>
      <c r="O331" s="106">
        <f t="shared" si="105"/>
        <v>82</v>
      </c>
    </row>
    <row r="332" spans="2:15" ht="15.75" customHeight="1">
      <c r="B332" s="16">
        <f t="shared" si="106"/>
        <v>324</v>
      </c>
      <c r="C332" s="17" t="s">
        <v>353</v>
      </c>
      <c r="D332" s="24" t="s">
        <v>11</v>
      </c>
      <c r="E332" s="24" t="s">
        <v>11</v>
      </c>
      <c r="F332" s="19">
        <f t="shared" si="100"/>
        <v>0.8</v>
      </c>
      <c r="G332" s="19">
        <v>30</v>
      </c>
      <c r="H332" s="30">
        <f t="shared" si="101"/>
        <v>24</v>
      </c>
      <c r="I332" s="56" t="s">
        <v>11</v>
      </c>
      <c r="J332" s="19">
        <f t="shared" si="102"/>
        <v>0.8</v>
      </c>
      <c r="K332" s="19">
        <v>45</v>
      </c>
      <c r="L332" s="21">
        <f t="shared" si="104"/>
        <v>36</v>
      </c>
      <c r="M332" s="61">
        <v>21</v>
      </c>
      <c r="N332" s="91">
        <f t="shared" si="103"/>
        <v>57</v>
      </c>
      <c r="O332" s="21">
        <f t="shared" si="105"/>
        <v>81</v>
      </c>
    </row>
    <row r="333" spans="2:15" ht="15.75" customHeight="1">
      <c r="B333" s="16">
        <f t="shared" si="106"/>
        <v>325</v>
      </c>
      <c r="C333" s="17" t="s">
        <v>354</v>
      </c>
      <c r="D333" s="24" t="s">
        <v>14</v>
      </c>
      <c r="E333" s="24" t="s">
        <v>14</v>
      </c>
      <c r="F333" s="19">
        <f t="shared" si="100"/>
        <v>1</v>
      </c>
      <c r="G333" s="19">
        <v>30</v>
      </c>
      <c r="H333" s="30">
        <f t="shared" si="101"/>
        <v>30</v>
      </c>
      <c r="I333" s="56" t="s">
        <v>14</v>
      </c>
      <c r="J333" s="19">
        <f t="shared" si="102"/>
        <v>1</v>
      </c>
      <c r="K333" s="19">
        <v>45</v>
      </c>
      <c r="L333" s="21">
        <f t="shared" si="104"/>
        <v>45</v>
      </c>
      <c r="M333" s="61">
        <v>30</v>
      </c>
      <c r="N333" s="91">
        <f t="shared" si="103"/>
        <v>75</v>
      </c>
      <c r="O333" s="21">
        <f t="shared" si="105"/>
        <v>105</v>
      </c>
    </row>
    <row r="334" spans="2:15" ht="15.75" customHeight="1">
      <c r="B334" s="16">
        <f t="shared" si="106"/>
        <v>326</v>
      </c>
      <c r="C334" s="17" t="s">
        <v>355</v>
      </c>
      <c r="D334" s="24" t="s">
        <v>11</v>
      </c>
      <c r="E334" s="24" t="s">
        <v>11</v>
      </c>
      <c r="F334" s="19">
        <f t="shared" si="100"/>
        <v>0.8</v>
      </c>
      <c r="G334" s="19">
        <v>30</v>
      </c>
      <c r="H334" s="30">
        <f t="shared" si="101"/>
        <v>24</v>
      </c>
      <c r="I334" s="56" t="s">
        <v>11</v>
      </c>
      <c r="J334" s="19">
        <f t="shared" si="102"/>
        <v>0.8</v>
      </c>
      <c r="K334" s="19">
        <v>45</v>
      </c>
      <c r="L334" s="21">
        <f t="shared" si="104"/>
        <v>36</v>
      </c>
      <c r="M334" s="61">
        <v>30</v>
      </c>
      <c r="N334" s="91">
        <f t="shared" si="103"/>
        <v>66</v>
      </c>
      <c r="O334" s="21">
        <f t="shared" si="105"/>
        <v>90</v>
      </c>
    </row>
    <row r="335" spans="2:15" ht="15.75" customHeight="1">
      <c r="B335" s="16">
        <f t="shared" si="106"/>
        <v>327</v>
      </c>
      <c r="C335" s="31" t="s">
        <v>356</v>
      </c>
      <c r="D335" s="24" t="s">
        <v>11</v>
      </c>
      <c r="E335" s="24" t="s">
        <v>8</v>
      </c>
      <c r="F335" s="25">
        <f t="shared" si="100"/>
        <v>0.7</v>
      </c>
      <c r="G335" s="19">
        <v>30</v>
      </c>
      <c r="H335" s="26">
        <f t="shared" si="101"/>
        <v>21</v>
      </c>
      <c r="I335" s="59" t="s">
        <v>14</v>
      </c>
      <c r="J335" s="25">
        <f t="shared" si="102"/>
        <v>1</v>
      </c>
      <c r="K335" s="19">
        <v>45</v>
      </c>
      <c r="L335" s="60">
        <f t="shared" si="104"/>
        <v>45</v>
      </c>
      <c r="M335" s="61">
        <v>12</v>
      </c>
      <c r="N335" s="96">
        <f t="shared" si="103"/>
        <v>57</v>
      </c>
      <c r="O335" s="21">
        <f t="shared" si="105"/>
        <v>78</v>
      </c>
    </row>
    <row r="336" spans="2:15" ht="15.75" customHeight="1">
      <c r="B336" s="16">
        <f t="shared" si="106"/>
        <v>328</v>
      </c>
      <c r="C336" s="17" t="s">
        <v>357</v>
      </c>
      <c r="D336" s="24" t="s">
        <v>14</v>
      </c>
      <c r="E336" s="24" t="s">
        <v>8</v>
      </c>
      <c r="F336" s="19">
        <f t="shared" si="100"/>
        <v>0.8</v>
      </c>
      <c r="G336" s="19">
        <v>30</v>
      </c>
      <c r="H336" s="30">
        <f t="shared" si="101"/>
        <v>24</v>
      </c>
      <c r="I336" s="56" t="s">
        <v>14</v>
      </c>
      <c r="J336" s="19">
        <f t="shared" si="102"/>
        <v>1</v>
      </c>
      <c r="K336" s="19">
        <v>45</v>
      </c>
      <c r="L336" s="21">
        <f t="shared" si="104"/>
        <v>45</v>
      </c>
      <c r="M336" s="61">
        <v>30</v>
      </c>
      <c r="N336" s="91">
        <f t="shared" si="103"/>
        <v>75</v>
      </c>
      <c r="O336" s="21">
        <f t="shared" si="105"/>
        <v>99</v>
      </c>
    </row>
    <row r="337" spans="2:15" s="4" customFormat="1" ht="15.75" customHeight="1">
      <c r="B337" s="104">
        <f t="shared" si="106"/>
        <v>329</v>
      </c>
      <c r="C337" s="105" t="s">
        <v>358</v>
      </c>
      <c r="D337" s="24" t="s">
        <v>4</v>
      </c>
      <c r="E337" s="24" t="s">
        <v>4</v>
      </c>
      <c r="F337" s="106">
        <f t="shared" si="100"/>
        <v>0</v>
      </c>
      <c r="G337" s="106">
        <v>30</v>
      </c>
      <c r="H337" s="22">
        <f t="shared" si="101"/>
        <v>0</v>
      </c>
      <c r="I337" s="109" t="s">
        <v>4</v>
      </c>
      <c r="J337" s="106">
        <f t="shared" si="102"/>
        <v>0</v>
      </c>
      <c r="K337" s="106">
        <v>45</v>
      </c>
      <c r="L337" s="106">
        <f t="shared" si="104"/>
        <v>0</v>
      </c>
      <c r="M337" s="110">
        <v>0</v>
      </c>
      <c r="N337" s="111">
        <f t="shared" si="103"/>
        <v>0</v>
      </c>
      <c r="O337" s="106">
        <f t="shared" si="105"/>
        <v>0</v>
      </c>
    </row>
    <row r="338" spans="2:15" ht="15.75" customHeight="1">
      <c r="B338" s="16">
        <f t="shared" si="106"/>
        <v>330</v>
      </c>
      <c r="C338" s="17" t="s">
        <v>359</v>
      </c>
      <c r="D338" s="24" t="s">
        <v>11</v>
      </c>
      <c r="E338" s="24" t="s">
        <v>8</v>
      </c>
      <c r="F338" s="19">
        <f t="shared" si="100"/>
        <v>0.7</v>
      </c>
      <c r="G338" s="19">
        <v>30</v>
      </c>
      <c r="H338" s="30">
        <f t="shared" si="101"/>
        <v>21</v>
      </c>
      <c r="I338" s="56" t="s">
        <v>14</v>
      </c>
      <c r="J338" s="19">
        <f t="shared" si="102"/>
        <v>1</v>
      </c>
      <c r="K338" s="19">
        <v>45</v>
      </c>
      <c r="L338" s="21">
        <f t="shared" si="104"/>
        <v>45</v>
      </c>
      <c r="M338" s="61">
        <v>22</v>
      </c>
      <c r="N338" s="91">
        <f t="shared" si="103"/>
        <v>67</v>
      </c>
      <c r="O338" s="21">
        <f t="shared" si="105"/>
        <v>88</v>
      </c>
    </row>
    <row r="339" spans="2:15" ht="15.75" customHeight="1">
      <c r="B339" s="16">
        <f t="shared" si="106"/>
        <v>331</v>
      </c>
      <c r="C339" s="17" t="s">
        <v>360</v>
      </c>
      <c r="D339" s="24" t="s">
        <v>11</v>
      </c>
      <c r="E339" s="24" t="s">
        <v>14</v>
      </c>
      <c r="F339" s="19">
        <f t="shared" si="100"/>
        <v>0.9</v>
      </c>
      <c r="G339" s="19">
        <v>30</v>
      </c>
      <c r="H339" s="30">
        <f t="shared" si="101"/>
        <v>27</v>
      </c>
      <c r="I339" s="56" t="s">
        <v>14</v>
      </c>
      <c r="J339" s="19">
        <f t="shared" si="102"/>
        <v>1</v>
      </c>
      <c r="K339" s="19">
        <v>45</v>
      </c>
      <c r="L339" s="21">
        <f t="shared" si="104"/>
        <v>45</v>
      </c>
      <c r="M339" s="61">
        <v>30</v>
      </c>
      <c r="N339" s="91">
        <f t="shared" si="103"/>
        <v>75</v>
      </c>
      <c r="O339" s="21">
        <f t="shared" si="105"/>
        <v>102</v>
      </c>
    </row>
    <row r="340" spans="2:15" ht="15.75" customHeight="1">
      <c r="B340" s="16">
        <f t="shared" si="106"/>
        <v>332</v>
      </c>
      <c r="C340" s="17" t="s">
        <v>361</v>
      </c>
      <c r="D340" s="24" t="s">
        <v>11</v>
      </c>
      <c r="E340" s="24" t="s">
        <v>14</v>
      </c>
      <c r="F340" s="19">
        <f t="shared" si="100"/>
        <v>0.9</v>
      </c>
      <c r="G340" s="19">
        <v>30</v>
      </c>
      <c r="H340" s="30">
        <f t="shared" si="101"/>
        <v>27</v>
      </c>
      <c r="I340" s="56" t="s">
        <v>11</v>
      </c>
      <c r="J340" s="19">
        <f t="shared" si="102"/>
        <v>0.8</v>
      </c>
      <c r="K340" s="19">
        <v>45</v>
      </c>
      <c r="L340" s="21">
        <f t="shared" si="104"/>
        <v>36</v>
      </c>
      <c r="M340" s="126">
        <v>30</v>
      </c>
      <c r="N340" s="91">
        <f t="shared" si="103"/>
        <v>66</v>
      </c>
      <c r="O340" s="21">
        <f t="shared" si="105"/>
        <v>93</v>
      </c>
    </row>
    <row r="341" spans="2:15" s="4" customFormat="1" ht="15.75" customHeight="1">
      <c r="B341" s="104">
        <f t="shared" si="106"/>
        <v>333</v>
      </c>
      <c r="C341" s="105" t="s">
        <v>362</v>
      </c>
      <c r="D341" s="24" t="s">
        <v>11</v>
      </c>
      <c r="E341" s="24" t="s">
        <v>11</v>
      </c>
      <c r="F341" s="106">
        <f t="shared" si="100"/>
        <v>0.8</v>
      </c>
      <c r="G341" s="106">
        <v>30</v>
      </c>
      <c r="H341" s="22">
        <f t="shared" si="101"/>
        <v>24</v>
      </c>
      <c r="I341" s="109" t="s">
        <v>14</v>
      </c>
      <c r="J341" s="106">
        <f t="shared" si="102"/>
        <v>1</v>
      </c>
      <c r="K341" s="106">
        <v>45</v>
      </c>
      <c r="L341" s="106">
        <f t="shared" si="104"/>
        <v>45</v>
      </c>
      <c r="M341" s="127">
        <v>0</v>
      </c>
      <c r="N341" s="111">
        <f t="shared" si="103"/>
        <v>45</v>
      </c>
      <c r="O341" s="106">
        <f t="shared" si="105"/>
        <v>69</v>
      </c>
    </row>
    <row r="342" spans="2:15" ht="15.75" customHeight="1">
      <c r="B342" s="16">
        <f t="shared" si="106"/>
        <v>334</v>
      </c>
      <c r="C342" s="17" t="s">
        <v>363</v>
      </c>
      <c r="D342" s="24" t="s">
        <v>6</v>
      </c>
      <c r="E342" s="24" t="s">
        <v>6</v>
      </c>
      <c r="F342" s="19">
        <f t="shared" si="100"/>
        <v>0</v>
      </c>
      <c r="G342" s="19">
        <v>30</v>
      </c>
      <c r="H342" s="30">
        <f t="shared" si="101"/>
        <v>0</v>
      </c>
      <c r="I342" s="56" t="s">
        <v>11</v>
      </c>
      <c r="J342" s="19">
        <f t="shared" si="102"/>
        <v>0.8</v>
      </c>
      <c r="K342" s="19">
        <v>45</v>
      </c>
      <c r="L342" s="21">
        <f t="shared" si="104"/>
        <v>36</v>
      </c>
      <c r="M342" s="108">
        <v>30</v>
      </c>
      <c r="N342" s="91">
        <f t="shared" si="103"/>
        <v>66</v>
      </c>
      <c r="O342" s="21">
        <f t="shared" si="105"/>
        <v>66</v>
      </c>
    </row>
    <row r="343" spans="2:15" ht="15.75" customHeight="1">
      <c r="B343" s="16">
        <f t="shared" si="106"/>
        <v>335</v>
      </c>
      <c r="C343" s="17" t="s">
        <v>364</v>
      </c>
      <c r="D343" s="24" t="s">
        <v>11</v>
      </c>
      <c r="E343" s="24" t="s">
        <v>6</v>
      </c>
      <c r="F343" s="19">
        <f t="shared" si="100"/>
        <v>0.4</v>
      </c>
      <c r="G343" s="19">
        <v>30</v>
      </c>
      <c r="H343" s="30">
        <f t="shared" si="101"/>
        <v>12</v>
      </c>
      <c r="I343" s="56" t="s">
        <v>14</v>
      </c>
      <c r="J343" s="19">
        <f t="shared" si="102"/>
        <v>1</v>
      </c>
      <c r="K343" s="64">
        <v>45</v>
      </c>
      <c r="L343" s="21">
        <f t="shared" si="104"/>
        <v>45</v>
      </c>
      <c r="M343" s="61">
        <v>22</v>
      </c>
      <c r="N343" s="91">
        <f t="shared" si="103"/>
        <v>67</v>
      </c>
      <c r="O343" s="21">
        <f t="shared" si="105"/>
        <v>79</v>
      </c>
    </row>
    <row r="344" spans="2:15" ht="15.75" customHeight="1">
      <c r="B344" s="16">
        <f t="shared" si="106"/>
        <v>336</v>
      </c>
      <c r="C344" s="17" t="s">
        <v>365</v>
      </c>
      <c r="D344" s="24" t="s">
        <v>8</v>
      </c>
      <c r="E344" s="24" t="s">
        <v>8</v>
      </c>
      <c r="F344" s="19">
        <f t="shared" si="100"/>
        <v>0.6</v>
      </c>
      <c r="G344" s="19">
        <v>30</v>
      </c>
      <c r="H344" s="30">
        <f t="shared" si="101"/>
        <v>18</v>
      </c>
      <c r="I344" s="56" t="s">
        <v>11</v>
      </c>
      <c r="J344" s="19">
        <f t="shared" si="102"/>
        <v>0.8</v>
      </c>
      <c r="K344" s="90">
        <v>45</v>
      </c>
      <c r="L344" s="21">
        <f t="shared" si="104"/>
        <v>36</v>
      </c>
      <c r="M344" s="61">
        <v>30</v>
      </c>
      <c r="N344" s="91">
        <f t="shared" si="103"/>
        <v>66</v>
      </c>
      <c r="O344" s="21">
        <f t="shared" si="105"/>
        <v>84</v>
      </c>
    </row>
    <row r="345" spans="2:15" ht="15.75" customHeight="1">
      <c r="B345" s="16">
        <f t="shared" si="106"/>
        <v>337</v>
      </c>
      <c r="C345" s="17" t="s">
        <v>366</v>
      </c>
      <c r="D345" s="24" t="s">
        <v>11</v>
      </c>
      <c r="E345" s="24" t="s">
        <v>8</v>
      </c>
      <c r="F345" s="19">
        <f t="shared" si="100"/>
        <v>0.7</v>
      </c>
      <c r="G345" s="19">
        <v>30</v>
      </c>
      <c r="H345" s="30">
        <f t="shared" si="101"/>
        <v>21</v>
      </c>
      <c r="I345" s="56" t="s">
        <v>11</v>
      </c>
      <c r="J345" s="19">
        <f t="shared" si="102"/>
        <v>0.8</v>
      </c>
      <c r="K345" s="19">
        <v>45</v>
      </c>
      <c r="L345" s="21">
        <f t="shared" si="104"/>
        <v>36</v>
      </c>
      <c r="M345" s="61">
        <v>21</v>
      </c>
      <c r="N345" s="91">
        <f t="shared" si="103"/>
        <v>57</v>
      </c>
      <c r="O345" s="21">
        <f t="shared" si="105"/>
        <v>78</v>
      </c>
    </row>
    <row r="346" spans="2:15" ht="15.75" customHeight="1">
      <c r="B346" s="16">
        <f t="shared" si="106"/>
        <v>338</v>
      </c>
      <c r="C346" s="17" t="s">
        <v>367</v>
      </c>
      <c r="D346" s="24" t="s">
        <v>11</v>
      </c>
      <c r="E346" s="24" t="s">
        <v>8</v>
      </c>
      <c r="F346" s="19">
        <f t="shared" si="100"/>
        <v>0.7</v>
      </c>
      <c r="G346" s="19">
        <v>30</v>
      </c>
      <c r="H346" s="30">
        <f t="shared" si="101"/>
        <v>21</v>
      </c>
      <c r="I346" s="56" t="s">
        <v>14</v>
      </c>
      <c r="J346" s="19">
        <f t="shared" si="102"/>
        <v>1</v>
      </c>
      <c r="K346" s="19">
        <v>45</v>
      </c>
      <c r="L346" s="21">
        <f t="shared" si="104"/>
        <v>45</v>
      </c>
      <c r="M346" s="61">
        <v>30</v>
      </c>
      <c r="N346" s="91">
        <f t="shared" si="103"/>
        <v>75</v>
      </c>
      <c r="O346" s="21">
        <f t="shared" si="105"/>
        <v>96</v>
      </c>
    </row>
    <row r="347" spans="2:15" ht="15.75" customHeight="1">
      <c r="B347" s="16">
        <f t="shared" si="106"/>
        <v>339</v>
      </c>
      <c r="C347" s="17" t="s">
        <v>368</v>
      </c>
      <c r="D347" s="24" t="s">
        <v>11</v>
      </c>
      <c r="E347" s="24" t="s">
        <v>8</v>
      </c>
      <c r="F347" s="19">
        <f t="shared" si="100"/>
        <v>0.7</v>
      </c>
      <c r="G347" s="19">
        <v>30</v>
      </c>
      <c r="H347" s="30">
        <f t="shared" si="101"/>
        <v>21</v>
      </c>
      <c r="I347" s="56" t="s">
        <v>14</v>
      </c>
      <c r="J347" s="19">
        <f t="shared" si="102"/>
        <v>1</v>
      </c>
      <c r="K347" s="19">
        <v>45</v>
      </c>
      <c r="L347" s="21">
        <f t="shared" si="104"/>
        <v>45</v>
      </c>
      <c r="M347" s="61">
        <v>30</v>
      </c>
      <c r="N347" s="91">
        <f t="shared" si="103"/>
        <v>75</v>
      </c>
      <c r="O347" s="21">
        <f t="shared" si="105"/>
        <v>96</v>
      </c>
    </row>
    <row r="348" spans="2:15" s="4" customFormat="1" ht="15.75" customHeight="1">
      <c r="B348" s="104">
        <f t="shared" si="106"/>
        <v>340</v>
      </c>
      <c r="C348" s="105" t="s">
        <v>369</v>
      </c>
      <c r="D348" s="24" t="s">
        <v>11</v>
      </c>
      <c r="E348" s="24" t="s">
        <v>8</v>
      </c>
      <c r="F348" s="106">
        <f t="shared" si="100"/>
        <v>0.7</v>
      </c>
      <c r="G348" s="106">
        <v>30</v>
      </c>
      <c r="H348" s="22">
        <f t="shared" si="101"/>
        <v>21</v>
      </c>
      <c r="I348" s="109" t="s">
        <v>14</v>
      </c>
      <c r="J348" s="106">
        <f t="shared" si="102"/>
        <v>1</v>
      </c>
      <c r="K348" s="106">
        <v>45</v>
      </c>
      <c r="L348" s="106">
        <f t="shared" si="104"/>
        <v>45</v>
      </c>
      <c r="M348" s="110">
        <v>20</v>
      </c>
      <c r="N348" s="111">
        <f t="shared" si="103"/>
        <v>65</v>
      </c>
      <c r="O348" s="106">
        <f t="shared" si="105"/>
        <v>86</v>
      </c>
    </row>
    <row r="349" spans="2:15" ht="15.75" customHeight="1">
      <c r="B349" s="114">
        <f t="shared" si="106"/>
        <v>341</v>
      </c>
      <c r="C349" s="115" t="s">
        <v>370</v>
      </c>
      <c r="D349" s="24" t="s">
        <v>11</v>
      </c>
      <c r="E349" s="24" t="s">
        <v>14</v>
      </c>
      <c r="F349" s="19">
        <f t="shared" si="100"/>
        <v>0.9</v>
      </c>
      <c r="G349" s="19">
        <v>30</v>
      </c>
      <c r="H349" s="30">
        <f t="shared" si="101"/>
        <v>27</v>
      </c>
      <c r="I349" s="56" t="s">
        <v>14</v>
      </c>
      <c r="J349" s="19">
        <f t="shared" si="102"/>
        <v>1</v>
      </c>
      <c r="K349" s="19">
        <v>45</v>
      </c>
      <c r="L349" s="21">
        <f t="shared" si="104"/>
        <v>45</v>
      </c>
      <c r="M349" s="61">
        <v>30</v>
      </c>
      <c r="N349" s="91">
        <f t="shared" si="103"/>
        <v>75</v>
      </c>
      <c r="O349" s="21">
        <f t="shared" si="105"/>
        <v>102</v>
      </c>
    </row>
    <row r="350" spans="2:15" ht="15.75" customHeight="1">
      <c r="B350" s="114">
        <f t="shared" si="106"/>
        <v>342</v>
      </c>
      <c r="C350" s="115" t="s">
        <v>371</v>
      </c>
      <c r="D350" s="24" t="s">
        <v>6</v>
      </c>
      <c r="E350" s="24" t="s">
        <v>6</v>
      </c>
      <c r="F350" s="19">
        <f t="shared" si="100"/>
        <v>0</v>
      </c>
      <c r="G350" s="19">
        <v>30</v>
      </c>
      <c r="H350" s="30">
        <f t="shared" si="101"/>
        <v>0</v>
      </c>
      <c r="I350" s="56" t="s">
        <v>14</v>
      </c>
      <c r="J350" s="19">
        <f t="shared" si="102"/>
        <v>1</v>
      </c>
      <c r="K350" s="19">
        <v>45</v>
      </c>
      <c r="L350" s="21">
        <f t="shared" si="104"/>
        <v>45</v>
      </c>
      <c r="M350" s="61">
        <v>21</v>
      </c>
      <c r="N350" s="91">
        <f t="shared" si="103"/>
        <v>66</v>
      </c>
      <c r="O350" s="21">
        <f t="shared" si="105"/>
        <v>66</v>
      </c>
    </row>
    <row r="351" spans="2:15" ht="15.75" customHeight="1">
      <c r="B351" s="114">
        <f t="shared" si="106"/>
        <v>343</v>
      </c>
      <c r="C351" s="116" t="s">
        <v>372</v>
      </c>
      <c r="D351" s="32" t="s">
        <v>8</v>
      </c>
      <c r="E351" s="24" t="s">
        <v>8</v>
      </c>
      <c r="F351" s="25">
        <f t="shared" ref="F351:F356" si="107">(0.5*(IF(E351="AB",0,(IF(E351="NA",0,(IF(E351="P",0.6,(IF(E351="M",0.8,(IF(E351="D",1,"False Entry")))))))))))+(0.5*(IF(D351="AB",0,(IF(D351="NA",0,(IF(D351="P",0.6,(IF(D351="M",0.8,(IF(D351="D",1,"False Entry")))))))))))</f>
        <v>0.6</v>
      </c>
      <c r="G351" s="19">
        <v>30</v>
      </c>
      <c r="H351" s="26">
        <f t="shared" ref="H351:H356" si="108">ROUNDUP(F351*G351,0)</f>
        <v>18</v>
      </c>
      <c r="I351" s="59" t="s">
        <v>14</v>
      </c>
      <c r="J351" s="25">
        <f t="shared" ref="J351:J356" si="109">(IF(I351="AB",0,IF(I351="NA",0,IF(I351="P",0.6,IF(I351="M",0.8,IF(I351="D",1,"False Entry"))))))</f>
        <v>1</v>
      </c>
      <c r="K351" s="19">
        <v>45</v>
      </c>
      <c r="L351" s="60">
        <f t="shared" ref="L351:L356" si="110">J351*K351</f>
        <v>45</v>
      </c>
      <c r="M351" s="61">
        <v>28</v>
      </c>
      <c r="N351" s="96">
        <f t="shared" ref="N351:N356" si="111">ROUNDUP(M351+L351,0)</f>
        <v>73</v>
      </c>
      <c r="O351" s="21">
        <f t="shared" ref="O351:O356" si="112">H351+N351</f>
        <v>91</v>
      </c>
    </row>
    <row r="352" spans="2:15" ht="15.75" customHeight="1">
      <c r="B352" s="114">
        <f t="shared" si="106"/>
        <v>344</v>
      </c>
      <c r="C352" s="115" t="s">
        <v>373</v>
      </c>
      <c r="D352" s="24" t="s">
        <v>14</v>
      </c>
      <c r="E352" s="24" t="s">
        <v>14</v>
      </c>
      <c r="F352" s="19">
        <f t="shared" si="107"/>
        <v>1</v>
      </c>
      <c r="G352" s="19">
        <v>30</v>
      </c>
      <c r="H352" s="30">
        <f t="shared" si="108"/>
        <v>30</v>
      </c>
      <c r="I352" s="56" t="s">
        <v>14</v>
      </c>
      <c r="J352" s="19">
        <f t="shared" si="109"/>
        <v>1</v>
      </c>
      <c r="K352" s="19">
        <v>45</v>
      </c>
      <c r="L352" s="21">
        <f t="shared" si="110"/>
        <v>45</v>
      </c>
      <c r="M352" s="61">
        <v>30</v>
      </c>
      <c r="N352" s="91">
        <f t="shared" si="111"/>
        <v>75</v>
      </c>
      <c r="O352" s="21">
        <f t="shared" si="112"/>
        <v>105</v>
      </c>
    </row>
    <row r="353" spans="1:27" ht="15.75" customHeight="1">
      <c r="B353" s="114">
        <f t="shared" si="106"/>
        <v>345</v>
      </c>
      <c r="C353" s="117" t="s">
        <v>374</v>
      </c>
      <c r="D353" s="24" t="s">
        <v>11</v>
      </c>
      <c r="E353" s="24" t="s">
        <v>8</v>
      </c>
      <c r="F353" s="19">
        <f t="shared" si="107"/>
        <v>0.7</v>
      </c>
      <c r="G353" s="19">
        <v>30</v>
      </c>
      <c r="H353" s="30">
        <f t="shared" si="108"/>
        <v>21</v>
      </c>
      <c r="I353" s="56" t="s">
        <v>14</v>
      </c>
      <c r="J353" s="19">
        <f t="shared" si="109"/>
        <v>1</v>
      </c>
      <c r="K353" s="19">
        <v>45</v>
      </c>
      <c r="L353" s="21">
        <f t="shared" si="110"/>
        <v>45</v>
      </c>
      <c r="M353" s="61">
        <v>15</v>
      </c>
      <c r="N353" s="91">
        <f t="shared" si="111"/>
        <v>60</v>
      </c>
      <c r="O353" s="21">
        <f t="shared" si="112"/>
        <v>81</v>
      </c>
    </row>
    <row r="354" spans="1:27" s="4" customFormat="1" ht="18" customHeight="1">
      <c r="A354" s="103"/>
      <c r="B354" s="114">
        <f t="shared" si="106"/>
        <v>346</v>
      </c>
      <c r="C354" s="117" t="s">
        <v>375</v>
      </c>
      <c r="D354" s="24" t="s">
        <v>11</v>
      </c>
      <c r="E354" s="24" t="s">
        <v>8</v>
      </c>
      <c r="F354" s="106">
        <f t="shared" si="107"/>
        <v>0.7</v>
      </c>
      <c r="G354" s="106">
        <v>30</v>
      </c>
      <c r="H354" s="22">
        <f t="shared" si="108"/>
        <v>21</v>
      </c>
      <c r="I354" s="109" t="s">
        <v>11</v>
      </c>
      <c r="J354" s="106">
        <f t="shared" si="109"/>
        <v>0.8</v>
      </c>
      <c r="K354" s="106">
        <v>45</v>
      </c>
      <c r="L354" s="106">
        <f t="shared" si="110"/>
        <v>36</v>
      </c>
      <c r="M354" s="110">
        <v>0</v>
      </c>
      <c r="N354" s="111">
        <f t="shared" si="111"/>
        <v>36</v>
      </c>
      <c r="O354" s="106">
        <f t="shared" si="112"/>
        <v>57</v>
      </c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</row>
    <row r="355" spans="1:27" s="4" customFormat="1" ht="15.75" customHeight="1">
      <c r="B355" s="114">
        <f t="shared" si="106"/>
        <v>347</v>
      </c>
      <c r="C355" s="117" t="s">
        <v>376</v>
      </c>
      <c r="D355" s="24" t="s">
        <v>11</v>
      </c>
      <c r="E355" s="24" t="s">
        <v>8</v>
      </c>
      <c r="F355" s="106">
        <f t="shared" si="107"/>
        <v>0.7</v>
      </c>
      <c r="G355" s="106">
        <v>30</v>
      </c>
      <c r="H355" s="22">
        <f t="shared" si="108"/>
        <v>21</v>
      </c>
      <c r="I355" s="109" t="s">
        <v>11</v>
      </c>
      <c r="J355" s="106">
        <f t="shared" si="109"/>
        <v>0.8</v>
      </c>
      <c r="K355" s="106">
        <v>45</v>
      </c>
      <c r="L355" s="106">
        <f t="shared" si="110"/>
        <v>36</v>
      </c>
      <c r="M355" s="110">
        <v>25</v>
      </c>
      <c r="N355" s="111">
        <f t="shared" si="111"/>
        <v>61</v>
      </c>
      <c r="O355" s="106">
        <f t="shared" si="112"/>
        <v>82</v>
      </c>
    </row>
    <row r="356" spans="1:27" ht="15.75" customHeight="1">
      <c r="B356" s="114">
        <f t="shared" si="106"/>
        <v>348</v>
      </c>
      <c r="C356" s="115" t="s">
        <v>377</v>
      </c>
      <c r="D356" s="24" t="s">
        <v>11</v>
      </c>
      <c r="E356" s="24" t="s">
        <v>8</v>
      </c>
      <c r="F356" s="19">
        <f t="shared" si="107"/>
        <v>0.7</v>
      </c>
      <c r="G356" s="19">
        <v>31</v>
      </c>
      <c r="H356" s="30">
        <f t="shared" si="108"/>
        <v>22</v>
      </c>
      <c r="I356" s="56" t="s">
        <v>14</v>
      </c>
      <c r="J356" s="19">
        <f t="shared" si="109"/>
        <v>1</v>
      </c>
      <c r="K356" s="19">
        <v>45</v>
      </c>
      <c r="L356" s="21">
        <f t="shared" si="110"/>
        <v>45</v>
      </c>
      <c r="M356" s="61">
        <v>20</v>
      </c>
      <c r="N356" s="91">
        <f t="shared" si="111"/>
        <v>65</v>
      </c>
      <c r="O356" s="21">
        <f t="shared" si="112"/>
        <v>87</v>
      </c>
    </row>
    <row r="357" spans="1:27" ht="15.75" customHeight="1">
      <c r="B357" s="114">
        <f t="shared" si="106"/>
        <v>349</v>
      </c>
      <c r="C357" s="118" t="s">
        <v>378</v>
      </c>
      <c r="D357" s="24" t="s">
        <v>4</v>
      </c>
      <c r="E357" s="24" t="s">
        <v>4</v>
      </c>
      <c r="F357" s="25">
        <f t="shared" si="100"/>
        <v>0</v>
      </c>
      <c r="G357" s="25">
        <v>30</v>
      </c>
      <c r="H357" s="26">
        <f t="shared" si="101"/>
        <v>0</v>
      </c>
      <c r="I357" s="59" t="s">
        <v>11</v>
      </c>
      <c r="J357" s="25">
        <f t="shared" si="102"/>
        <v>0.8</v>
      </c>
      <c r="K357" s="25">
        <v>45</v>
      </c>
      <c r="L357" s="60">
        <f t="shared" si="104"/>
        <v>36</v>
      </c>
      <c r="M357" s="128">
        <v>20</v>
      </c>
      <c r="N357" s="96">
        <f t="shared" si="103"/>
        <v>56</v>
      </c>
      <c r="O357" s="21">
        <f t="shared" si="105"/>
        <v>56</v>
      </c>
    </row>
    <row r="358" spans="1:27" s="4" customFormat="1" ht="18" customHeight="1">
      <c r="A358" s="104">
        <v>21</v>
      </c>
      <c r="B358" s="114">
        <f t="shared" si="106"/>
        <v>350</v>
      </c>
      <c r="C358" s="117" t="s">
        <v>379</v>
      </c>
      <c r="D358" s="18" t="s">
        <v>4</v>
      </c>
      <c r="E358" s="18" t="s">
        <v>4</v>
      </c>
      <c r="F358" s="106">
        <f t="shared" si="100"/>
        <v>0</v>
      </c>
      <c r="G358" s="106">
        <v>30</v>
      </c>
      <c r="H358" s="22">
        <f t="shared" si="101"/>
        <v>0</v>
      </c>
      <c r="I358" s="109" t="s">
        <v>11</v>
      </c>
      <c r="J358" s="106">
        <f t="shared" si="102"/>
        <v>0.8</v>
      </c>
      <c r="K358" s="106">
        <v>45</v>
      </c>
      <c r="L358" s="106">
        <f t="shared" si="104"/>
        <v>36</v>
      </c>
      <c r="M358" s="106">
        <v>0</v>
      </c>
      <c r="N358" s="111">
        <f t="shared" si="103"/>
        <v>36</v>
      </c>
      <c r="O358" s="106">
        <f t="shared" si="105"/>
        <v>36</v>
      </c>
      <c r="P358" s="112"/>
      <c r="Q358" s="112"/>
      <c r="R358" s="112"/>
      <c r="S358" s="112"/>
      <c r="T358" s="112"/>
      <c r="U358" s="112"/>
      <c r="V358" s="112"/>
    </row>
    <row r="359" spans="1:27" ht="18" customHeight="1">
      <c r="A359" s="16"/>
      <c r="B359" s="119"/>
      <c r="C359" s="120"/>
      <c r="D359" s="121"/>
      <c r="E359" s="121"/>
      <c r="F359" s="122"/>
      <c r="G359" s="122"/>
      <c r="H359" s="123"/>
      <c r="I359" s="121"/>
      <c r="J359" s="122"/>
      <c r="K359" s="122"/>
      <c r="L359" s="129"/>
      <c r="M359" s="129"/>
      <c r="N359" s="130"/>
      <c r="O359" s="129"/>
      <c r="P359" s="39"/>
      <c r="Q359" s="39"/>
      <c r="R359" s="39"/>
      <c r="S359" s="39"/>
      <c r="T359" s="39"/>
      <c r="U359" s="39"/>
      <c r="V359" s="39"/>
    </row>
    <row r="360" spans="1:27" ht="18" customHeight="1">
      <c r="A360" s="16"/>
      <c r="B360" s="119"/>
      <c r="C360" s="120"/>
      <c r="D360" s="121"/>
      <c r="E360" s="121"/>
      <c r="F360" s="122"/>
      <c r="G360" s="122"/>
      <c r="H360" s="123"/>
      <c r="I360" s="121"/>
      <c r="J360" s="122"/>
      <c r="K360" s="122"/>
      <c r="L360" s="129"/>
      <c r="M360" s="129"/>
      <c r="N360" s="130"/>
      <c r="O360" s="129"/>
      <c r="P360" s="39"/>
      <c r="Q360" s="39"/>
      <c r="R360" s="39"/>
      <c r="S360" s="39"/>
      <c r="T360" s="39"/>
      <c r="U360" s="39"/>
      <c r="V360" s="39"/>
    </row>
    <row r="361" spans="1:27" ht="18" customHeight="1">
      <c r="A361" s="16">
        <v>8</v>
      </c>
      <c r="B361" s="16"/>
      <c r="C361" s="124" t="s">
        <v>380</v>
      </c>
      <c r="D361" s="18" t="s">
        <v>4</v>
      </c>
      <c r="E361" s="18" t="s">
        <v>4</v>
      </c>
      <c r="F361" s="19">
        <f t="shared" ref="F361:F405" si="113">(0.5*(IF(E361="AB",0,(IF(E361="NA",0,(IF(E361="P",0.6,(IF(E361="M",0.8,(IF(E361="D",1,"False Entry")))))))))))+(0.5*(IF(D361="AB",0,(IF(D361="NA",0,(IF(D361="P",0.6,(IF(D361="M",0.8,(IF(D361="D",1,"False Entry")))))))))))</f>
        <v>0</v>
      </c>
      <c r="G361" s="19">
        <v>30</v>
      </c>
      <c r="H361" s="20">
        <f t="shared" ref="H361:H405" si="114">ROUNDUP(F361*G361,0)</f>
        <v>0</v>
      </c>
      <c r="I361" s="56" t="s">
        <v>4</v>
      </c>
      <c r="J361" s="19">
        <f t="shared" ref="J361:J405" si="115">(IF(I361="AB",0,IF(I361="NA",0,IF(I361="P",0.6,IF(I361="M",0.8,IF(I361="D",1,"False Entry"))))))</f>
        <v>0</v>
      </c>
      <c r="K361" s="19">
        <v>45</v>
      </c>
      <c r="L361" s="21">
        <f t="shared" ref="L361:L405" si="116">J361*K361</f>
        <v>0</v>
      </c>
      <c r="M361" s="57">
        <v>0</v>
      </c>
      <c r="N361" s="58">
        <f t="shared" ref="N361:N405" si="117">ROUNDUP(M361+L361,0)</f>
        <v>0</v>
      </c>
      <c r="O361" s="21">
        <f t="shared" ref="O361:O405" si="118">H361+N361</f>
        <v>0</v>
      </c>
      <c r="P361" s="39"/>
      <c r="Q361" s="39"/>
      <c r="R361" s="39"/>
      <c r="S361" s="39"/>
      <c r="T361" s="39"/>
      <c r="U361" s="39"/>
      <c r="V361" s="39"/>
    </row>
    <row r="362" spans="1:27" ht="18" customHeight="1">
      <c r="A362" s="16">
        <v>10</v>
      </c>
      <c r="B362" s="16"/>
      <c r="C362" s="124" t="s">
        <v>381</v>
      </c>
      <c r="D362" s="18" t="s">
        <v>4</v>
      </c>
      <c r="E362" s="18" t="s">
        <v>4</v>
      </c>
      <c r="F362" s="19">
        <f t="shared" si="113"/>
        <v>0</v>
      </c>
      <c r="G362" s="19">
        <v>30</v>
      </c>
      <c r="H362" s="20">
        <f t="shared" si="114"/>
        <v>0</v>
      </c>
      <c r="I362" s="56" t="s">
        <v>4</v>
      </c>
      <c r="J362" s="19">
        <f t="shared" si="115"/>
        <v>0</v>
      </c>
      <c r="K362" s="19">
        <v>45</v>
      </c>
      <c r="L362" s="21">
        <f t="shared" si="116"/>
        <v>0</v>
      </c>
      <c r="M362" s="57">
        <v>0</v>
      </c>
      <c r="N362" s="58">
        <f t="shared" si="117"/>
        <v>0</v>
      </c>
      <c r="O362" s="21">
        <f t="shared" si="118"/>
        <v>0</v>
      </c>
      <c r="P362" s="39"/>
      <c r="Q362" s="39"/>
      <c r="R362" s="39"/>
      <c r="S362" s="39"/>
      <c r="T362" s="39"/>
      <c r="U362" s="39"/>
      <c r="V362" s="39"/>
    </row>
    <row r="363" spans="1:27" ht="18" customHeight="1">
      <c r="A363" s="16">
        <v>20</v>
      </c>
      <c r="B363" s="16"/>
      <c r="C363" s="17" t="s">
        <v>382</v>
      </c>
      <c r="D363" s="18" t="s">
        <v>4</v>
      </c>
      <c r="E363" s="18" t="s">
        <v>4</v>
      </c>
      <c r="F363" s="19">
        <f t="shared" si="113"/>
        <v>0</v>
      </c>
      <c r="G363" s="19">
        <v>30</v>
      </c>
      <c r="H363" s="20">
        <f t="shared" si="114"/>
        <v>0</v>
      </c>
      <c r="I363" s="56" t="s">
        <v>4</v>
      </c>
      <c r="J363" s="19">
        <f t="shared" si="115"/>
        <v>0</v>
      </c>
      <c r="K363" s="19">
        <v>45</v>
      </c>
      <c r="L363" s="21">
        <f t="shared" si="116"/>
        <v>0</v>
      </c>
      <c r="M363" s="57">
        <v>0</v>
      </c>
      <c r="N363" s="58">
        <f t="shared" si="117"/>
        <v>0</v>
      </c>
      <c r="O363" s="21">
        <f t="shared" si="118"/>
        <v>0</v>
      </c>
      <c r="P363" s="39"/>
      <c r="Q363" s="39"/>
      <c r="R363" s="39"/>
      <c r="S363" s="39"/>
      <c r="T363" s="39"/>
      <c r="U363" s="39"/>
      <c r="V363" s="39"/>
    </row>
    <row r="364" spans="1:27" ht="18" customHeight="1">
      <c r="A364" s="16">
        <v>21</v>
      </c>
      <c r="B364" s="16"/>
      <c r="C364" s="17" t="s">
        <v>383</v>
      </c>
      <c r="D364" s="18" t="s">
        <v>4</v>
      </c>
      <c r="E364" s="18" t="s">
        <v>4</v>
      </c>
      <c r="F364" s="19">
        <f t="shared" si="113"/>
        <v>0</v>
      </c>
      <c r="G364" s="19">
        <v>30</v>
      </c>
      <c r="H364" s="20">
        <f t="shared" si="114"/>
        <v>0</v>
      </c>
      <c r="I364" s="56" t="s">
        <v>4</v>
      </c>
      <c r="J364" s="19">
        <f t="shared" si="115"/>
        <v>0</v>
      </c>
      <c r="K364" s="19">
        <v>45</v>
      </c>
      <c r="L364" s="21">
        <f t="shared" si="116"/>
        <v>0</v>
      </c>
      <c r="M364" s="57">
        <v>0</v>
      </c>
      <c r="N364" s="58">
        <f t="shared" si="117"/>
        <v>0</v>
      </c>
      <c r="O364" s="21">
        <f t="shared" si="118"/>
        <v>0</v>
      </c>
      <c r="P364" s="39"/>
      <c r="Q364" s="39"/>
      <c r="R364" s="39"/>
      <c r="S364" s="39"/>
      <c r="T364" s="39"/>
      <c r="U364" s="39"/>
      <c r="V364" s="39"/>
    </row>
    <row r="365" spans="1:27" ht="18" customHeight="1">
      <c r="A365" s="16">
        <v>22</v>
      </c>
      <c r="B365" s="16"/>
      <c r="C365" s="17" t="s">
        <v>384</v>
      </c>
      <c r="D365" s="18" t="s">
        <v>4</v>
      </c>
      <c r="E365" s="18" t="s">
        <v>4</v>
      </c>
      <c r="F365" s="19">
        <f t="shared" si="113"/>
        <v>0</v>
      </c>
      <c r="G365" s="19">
        <v>30</v>
      </c>
      <c r="H365" s="20">
        <f t="shared" si="114"/>
        <v>0</v>
      </c>
      <c r="I365" s="56" t="s">
        <v>4</v>
      </c>
      <c r="J365" s="19">
        <f t="shared" si="115"/>
        <v>0</v>
      </c>
      <c r="K365" s="19">
        <v>45</v>
      </c>
      <c r="L365" s="21">
        <f t="shared" si="116"/>
        <v>0</v>
      </c>
      <c r="M365" s="57">
        <v>0</v>
      </c>
      <c r="N365" s="58">
        <f t="shared" si="117"/>
        <v>0</v>
      </c>
      <c r="O365" s="21">
        <f t="shared" si="118"/>
        <v>0</v>
      </c>
      <c r="P365" s="39"/>
      <c r="Q365" s="39"/>
      <c r="R365" s="39"/>
      <c r="S365" s="39"/>
      <c r="T365" s="39"/>
      <c r="U365" s="39"/>
      <c r="V365" s="39"/>
    </row>
    <row r="366" spans="1:27" ht="18" customHeight="1">
      <c r="A366" s="16">
        <v>28</v>
      </c>
      <c r="B366" s="16"/>
      <c r="C366" s="17" t="s">
        <v>385</v>
      </c>
      <c r="D366" s="18" t="s">
        <v>4</v>
      </c>
      <c r="E366" s="18" t="s">
        <v>4</v>
      </c>
      <c r="F366" s="21">
        <f t="shared" si="113"/>
        <v>0</v>
      </c>
      <c r="G366" s="21">
        <v>30</v>
      </c>
      <c r="H366" s="125">
        <f t="shared" si="114"/>
        <v>0</v>
      </c>
      <c r="I366" s="56" t="s">
        <v>4</v>
      </c>
      <c r="J366" s="19">
        <f t="shared" si="115"/>
        <v>0</v>
      </c>
      <c r="K366" s="21">
        <v>45</v>
      </c>
      <c r="L366" s="21">
        <f t="shared" si="116"/>
        <v>0</v>
      </c>
      <c r="M366" s="21">
        <v>0</v>
      </c>
      <c r="N366" s="58">
        <f t="shared" si="117"/>
        <v>0</v>
      </c>
      <c r="O366" s="21">
        <f t="shared" si="118"/>
        <v>0</v>
      </c>
      <c r="P366" s="39"/>
      <c r="Q366" s="39"/>
      <c r="R366" s="39"/>
      <c r="S366" s="39"/>
      <c r="T366" s="39"/>
      <c r="U366" s="39"/>
      <c r="V366" s="39"/>
    </row>
    <row r="367" spans="1:27" ht="18" customHeight="1">
      <c r="A367" s="16">
        <v>38</v>
      </c>
      <c r="B367" s="16"/>
      <c r="C367" s="17" t="s">
        <v>386</v>
      </c>
      <c r="D367" s="18" t="s">
        <v>4</v>
      </c>
      <c r="E367" s="18" t="s">
        <v>4</v>
      </c>
      <c r="F367" s="19">
        <f t="shared" si="113"/>
        <v>0</v>
      </c>
      <c r="G367" s="19">
        <v>30</v>
      </c>
      <c r="H367" s="20">
        <f t="shared" si="114"/>
        <v>0</v>
      </c>
      <c r="I367" s="56" t="s">
        <v>4</v>
      </c>
      <c r="J367" s="19">
        <f t="shared" si="115"/>
        <v>0</v>
      </c>
      <c r="K367" s="19">
        <v>45</v>
      </c>
      <c r="L367" s="21">
        <f t="shared" si="116"/>
        <v>0</v>
      </c>
      <c r="M367" s="57">
        <v>0</v>
      </c>
      <c r="N367" s="58">
        <f t="shared" si="117"/>
        <v>0</v>
      </c>
      <c r="O367" s="21">
        <f t="shared" si="118"/>
        <v>0</v>
      </c>
      <c r="P367" s="39"/>
      <c r="Q367" s="39"/>
      <c r="R367" s="39"/>
      <c r="S367" s="39"/>
      <c r="T367" s="39"/>
      <c r="U367" s="39"/>
      <c r="V367" s="39"/>
    </row>
    <row r="368" spans="1:27" ht="18" customHeight="1">
      <c r="A368" s="16">
        <v>40</v>
      </c>
      <c r="B368" s="16"/>
      <c r="C368" s="17" t="s">
        <v>387</v>
      </c>
      <c r="D368" s="18" t="s">
        <v>4</v>
      </c>
      <c r="E368" s="18" t="s">
        <v>4</v>
      </c>
      <c r="F368" s="19">
        <f t="shared" si="113"/>
        <v>0</v>
      </c>
      <c r="G368" s="19">
        <v>30</v>
      </c>
      <c r="H368" s="20">
        <f t="shared" si="114"/>
        <v>0</v>
      </c>
      <c r="I368" s="56" t="s">
        <v>4</v>
      </c>
      <c r="J368" s="19">
        <f t="shared" si="115"/>
        <v>0</v>
      </c>
      <c r="K368" s="19">
        <v>45</v>
      </c>
      <c r="L368" s="21">
        <f t="shared" si="116"/>
        <v>0</v>
      </c>
      <c r="M368" s="57">
        <v>0</v>
      </c>
      <c r="N368" s="58">
        <f t="shared" si="117"/>
        <v>0</v>
      </c>
      <c r="O368" s="21">
        <f t="shared" si="118"/>
        <v>0</v>
      </c>
      <c r="P368" s="39"/>
      <c r="Q368" s="39"/>
      <c r="R368" s="39"/>
      <c r="S368" s="39"/>
      <c r="T368" s="39"/>
      <c r="U368" s="39"/>
      <c r="V368" s="39"/>
    </row>
    <row r="369" spans="1:27" ht="18" customHeight="1">
      <c r="A369" s="16">
        <v>47</v>
      </c>
      <c r="B369" s="16"/>
      <c r="C369" s="17" t="s">
        <v>388</v>
      </c>
      <c r="D369" s="18" t="s">
        <v>4</v>
      </c>
      <c r="E369" s="18" t="s">
        <v>4</v>
      </c>
      <c r="F369" s="19">
        <f t="shared" si="113"/>
        <v>0</v>
      </c>
      <c r="G369" s="19">
        <v>30</v>
      </c>
      <c r="H369" s="20">
        <f t="shared" si="114"/>
        <v>0</v>
      </c>
      <c r="I369" s="56" t="s">
        <v>4</v>
      </c>
      <c r="J369" s="19">
        <f t="shared" si="115"/>
        <v>0</v>
      </c>
      <c r="K369" s="19">
        <v>45</v>
      </c>
      <c r="L369" s="21">
        <f t="shared" si="116"/>
        <v>0</v>
      </c>
      <c r="M369" s="57">
        <v>0</v>
      </c>
      <c r="N369" s="58">
        <f t="shared" si="117"/>
        <v>0</v>
      </c>
      <c r="O369" s="21">
        <f t="shared" si="118"/>
        <v>0</v>
      </c>
      <c r="P369" s="39"/>
      <c r="Q369" s="39"/>
      <c r="R369" s="39"/>
      <c r="S369" s="39"/>
      <c r="T369" s="39"/>
      <c r="U369" s="39"/>
      <c r="V369" s="39"/>
    </row>
    <row r="370" spans="1:27" ht="18" customHeight="1">
      <c r="A370" s="16">
        <v>48</v>
      </c>
      <c r="B370" s="16"/>
      <c r="C370" s="17" t="s">
        <v>389</v>
      </c>
      <c r="D370" s="18" t="s">
        <v>4</v>
      </c>
      <c r="E370" s="18" t="s">
        <v>4</v>
      </c>
      <c r="F370" s="21">
        <f t="shared" si="113"/>
        <v>0</v>
      </c>
      <c r="G370" s="21">
        <v>30</v>
      </c>
      <c r="H370" s="125">
        <f t="shared" si="114"/>
        <v>0</v>
      </c>
      <c r="I370" s="56" t="s">
        <v>4</v>
      </c>
      <c r="J370" s="19">
        <f t="shared" si="115"/>
        <v>0</v>
      </c>
      <c r="K370" s="21">
        <v>45</v>
      </c>
      <c r="L370" s="21">
        <f t="shared" si="116"/>
        <v>0</v>
      </c>
      <c r="M370" s="21">
        <v>0</v>
      </c>
      <c r="N370" s="58">
        <f t="shared" si="117"/>
        <v>0</v>
      </c>
      <c r="O370" s="21">
        <f t="shared" si="118"/>
        <v>0</v>
      </c>
      <c r="P370" s="39"/>
      <c r="Q370" s="39"/>
      <c r="R370" s="39"/>
      <c r="S370" s="39"/>
      <c r="T370" s="39"/>
      <c r="U370" s="39"/>
      <c r="V370" s="39"/>
    </row>
    <row r="371" spans="1:27" ht="18" customHeight="1">
      <c r="A371" s="16">
        <v>50</v>
      </c>
      <c r="B371" s="16"/>
      <c r="C371" s="17" t="s">
        <v>390</v>
      </c>
      <c r="D371" s="18" t="s">
        <v>4</v>
      </c>
      <c r="E371" s="18" t="s">
        <v>4</v>
      </c>
      <c r="F371" s="19">
        <f t="shared" si="113"/>
        <v>0</v>
      </c>
      <c r="G371" s="19">
        <v>30</v>
      </c>
      <c r="H371" s="20">
        <f t="shared" si="114"/>
        <v>0</v>
      </c>
      <c r="I371" s="56" t="s">
        <v>4</v>
      </c>
      <c r="J371" s="19">
        <f t="shared" si="115"/>
        <v>0</v>
      </c>
      <c r="K371" s="19">
        <v>45</v>
      </c>
      <c r="L371" s="21">
        <f t="shared" si="116"/>
        <v>0</v>
      </c>
      <c r="M371" s="57">
        <v>0</v>
      </c>
      <c r="N371" s="58">
        <f t="shared" si="117"/>
        <v>0</v>
      </c>
      <c r="O371" s="21">
        <f t="shared" si="118"/>
        <v>0</v>
      </c>
      <c r="P371" s="39"/>
      <c r="Q371" s="39"/>
      <c r="R371" s="39"/>
      <c r="S371" s="39"/>
      <c r="T371" s="39"/>
      <c r="U371" s="39"/>
      <c r="V371" s="39"/>
    </row>
    <row r="372" spans="1:27" ht="18" customHeight="1">
      <c r="A372" s="16">
        <v>69</v>
      </c>
      <c r="B372" s="16"/>
      <c r="C372" s="17" t="s">
        <v>391</v>
      </c>
      <c r="D372" s="18" t="s">
        <v>4</v>
      </c>
      <c r="E372" s="18" t="s">
        <v>4</v>
      </c>
      <c r="F372" s="19">
        <f t="shared" si="113"/>
        <v>0</v>
      </c>
      <c r="G372" s="19">
        <v>30</v>
      </c>
      <c r="H372" s="20">
        <f t="shared" si="114"/>
        <v>0</v>
      </c>
      <c r="I372" s="56" t="s">
        <v>4</v>
      </c>
      <c r="J372" s="19">
        <f t="shared" si="115"/>
        <v>0</v>
      </c>
      <c r="K372" s="19">
        <v>45</v>
      </c>
      <c r="L372" s="21">
        <f t="shared" si="116"/>
        <v>0</v>
      </c>
      <c r="M372" s="57">
        <v>0</v>
      </c>
      <c r="N372" s="58">
        <f t="shared" si="117"/>
        <v>0</v>
      </c>
      <c r="O372" s="21">
        <f t="shared" si="118"/>
        <v>0</v>
      </c>
      <c r="P372" s="39"/>
      <c r="Q372" s="39"/>
      <c r="R372" s="39"/>
      <c r="S372" s="39"/>
      <c r="T372" s="39"/>
      <c r="U372" s="39"/>
      <c r="V372" s="39"/>
    </row>
    <row r="373" spans="1:27" ht="18" customHeight="1">
      <c r="A373" s="16">
        <v>77</v>
      </c>
      <c r="B373" s="16"/>
      <c r="C373" s="17" t="s">
        <v>392</v>
      </c>
      <c r="D373" s="18" t="s">
        <v>4</v>
      </c>
      <c r="E373" s="18" t="s">
        <v>4</v>
      </c>
      <c r="F373" s="19">
        <f t="shared" si="113"/>
        <v>0</v>
      </c>
      <c r="G373" s="19">
        <v>30</v>
      </c>
      <c r="H373" s="20">
        <f t="shared" si="114"/>
        <v>0</v>
      </c>
      <c r="I373" s="56" t="s">
        <v>4</v>
      </c>
      <c r="J373" s="19">
        <f t="shared" si="115"/>
        <v>0</v>
      </c>
      <c r="K373" s="19">
        <v>45</v>
      </c>
      <c r="L373" s="21">
        <f t="shared" si="116"/>
        <v>0</v>
      </c>
      <c r="M373" s="57">
        <v>0</v>
      </c>
      <c r="N373" s="58">
        <f t="shared" si="117"/>
        <v>0</v>
      </c>
      <c r="O373" s="21">
        <f t="shared" si="118"/>
        <v>0</v>
      </c>
      <c r="P373" s="39"/>
      <c r="Q373" s="39"/>
      <c r="R373" s="39"/>
      <c r="S373" s="39"/>
      <c r="T373" s="39"/>
      <c r="U373" s="39"/>
      <c r="V373" s="39"/>
    </row>
    <row r="374" spans="1:27" ht="18" customHeight="1">
      <c r="A374" s="16">
        <v>78</v>
      </c>
      <c r="B374" s="16"/>
      <c r="C374" s="17" t="s">
        <v>393</v>
      </c>
      <c r="D374" s="18" t="s">
        <v>4</v>
      </c>
      <c r="E374" s="18" t="s">
        <v>4</v>
      </c>
      <c r="F374" s="19">
        <f t="shared" si="113"/>
        <v>0</v>
      </c>
      <c r="G374" s="19">
        <v>30</v>
      </c>
      <c r="H374" s="20">
        <f t="shared" si="114"/>
        <v>0</v>
      </c>
      <c r="I374" s="56" t="s">
        <v>4</v>
      </c>
      <c r="J374" s="19">
        <f t="shared" si="115"/>
        <v>0</v>
      </c>
      <c r="K374" s="19">
        <v>45</v>
      </c>
      <c r="L374" s="21">
        <f t="shared" si="116"/>
        <v>0</v>
      </c>
      <c r="M374" s="57">
        <v>0</v>
      </c>
      <c r="N374" s="58">
        <f t="shared" si="117"/>
        <v>0</v>
      </c>
      <c r="O374" s="21">
        <f t="shared" si="118"/>
        <v>0</v>
      </c>
      <c r="P374" s="39"/>
      <c r="Q374" s="39"/>
      <c r="R374" s="39"/>
      <c r="S374" s="39"/>
      <c r="T374" s="39"/>
      <c r="U374" s="39"/>
      <c r="V374" s="39"/>
    </row>
    <row r="375" spans="1:27" ht="18" customHeight="1">
      <c r="A375" s="16">
        <v>83</v>
      </c>
      <c r="B375" s="16"/>
      <c r="C375" s="17" t="s">
        <v>394</v>
      </c>
      <c r="D375" s="18" t="s">
        <v>4</v>
      </c>
      <c r="E375" s="18" t="s">
        <v>4</v>
      </c>
      <c r="F375" s="19">
        <f t="shared" si="113"/>
        <v>0</v>
      </c>
      <c r="G375" s="19">
        <v>30</v>
      </c>
      <c r="H375" s="20">
        <f t="shared" si="114"/>
        <v>0</v>
      </c>
      <c r="I375" s="56" t="s">
        <v>4</v>
      </c>
      <c r="J375" s="19">
        <f t="shared" si="115"/>
        <v>0</v>
      </c>
      <c r="K375" s="19">
        <v>45</v>
      </c>
      <c r="L375" s="21">
        <f t="shared" si="116"/>
        <v>0</v>
      </c>
      <c r="M375" s="57">
        <v>0</v>
      </c>
      <c r="N375" s="58">
        <f t="shared" si="117"/>
        <v>0</v>
      </c>
      <c r="O375" s="21">
        <f t="shared" si="118"/>
        <v>0</v>
      </c>
      <c r="P375" s="39"/>
      <c r="Q375" s="39"/>
      <c r="R375" s="39"/>
      <c r="S375" s="39"/>
      <c r="T375" s="39"/>
      <c r="U375" s="39"/>
      <c r="V375" s="39"/>
    </row>
    <row r="376" spans="1:27" ht="18" customHeight="1">
      <c r="A376" s="16">
        <v>92</v>
      </c>
      <c r="B376" s="16"/>
      <c r="C376" s="17" t="s">
        <v>395</v>
      </c>
      <c r="D376" s="18" t="s">
        <v>4</v>
      </c>
      <c r="E376" s="18" t="s">
        <v>4</v>
      </c>
      <c r="F376" s="19">
        <f t="shared" si="113"/>
        <v>0</v>
      </c>
      <c r="G376" s="19">
        <v>30</v>
      </c>
      <c r="H376" s="20">
        <f t="shared" si="114"/>
        <v>0</v>
      </c>
      <c r="I376" s="56" t="s">
        <v>4</v>
      </c>
      <c r="J376" s="19">
        <f t="shared" si="115"/>
        <v>0</v>
      </c>
      <c r="K376" s="19">
        <v>45</v>
      </c>
      <c r="L376" s="21">
        <f t="shared" si="116"/>
        <v>0</v>
      </c>
      <c r="M376" s="57">
        <v>0</v>
      </c>
      <c r="N376" s="58">
        <f t="shared" si="117"/>
        <v>0</v>
      </c>
      <c r="O376" s="21">
        <f t="shared" si="118"/>
        <v>0</v>
      </c>
      <c r="P376" s="39"/>
      <c r="Q376" s="39"/>
      <c r="R376" s="39"/>
      <c r="S376" s="39"/>
      <c r="T376" s="39"/>
      <c r="U376" s="39"/>
      <c r="V376" s="39"/>
    </row>
    <row r="377" spans="1:27" ht="18" customHeight="1">
      <c r="A377" s="84"/>
      <c r="B377" s="16"/>
      <c r="C377" s="17" t="s">
        <v>396</v>
      </c>
      <c r="D377" s="24" t="s">
        <v>4</v>
      </c>
      <c r="E377" s="24" t="s">
        <v>4</v>
      </c>
      <c r="F377" s="19">
        <f t="shared" si="113"/>
        <v>0</v>
      </c>
      <c r="G377" s="19">
        <v>30</v>
      </c>
      <c r="H377" s="20">
        <f t="shared" si="114"/>
        <v>0</v>
      </c>
      <c r="I377" s="56" t="s">
        <v>4</v>
      </c>
      <c r="J377" s="19">
        <f t="shared" si="115"/>
        <v>0</v>
      </c>
      <c r="K377" s="19">
        <v>45</v>
      </c>
      <c r="L377" s="21">
        <f t="shared" si="116"/>
        <v>0</v>
      </c>
      <c r="M377" s="57">
        <v>0</v>
      </c>
      <c r="N377" s="58">
        <f t="shared" si="117"/>
        <v>0</v>
      </c>
      <c r="O377" s="21">
        <f t="shared" si="118"/>
        <v>0</v>
      </c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8" customHeight="1">
      <c r="A378" s="16">
        <v>7</v>
      </c>
      <c r="B378" s="16"/>
      <c r="C378" s="17" t="s">
        <v>397</v>
      </c>
      <c r="D378" s="18" t="s">
        <v>4</v>
      </c>
      <c r="E378" s="18" t="s">
        <v>4</v>
      </c>
      <c r="F378" s="19">
        <f t="shared" si="113"/>
        <v>0</v>
      </c>
      <c r="G378" s="19">
        <v>30</v>
      </c>
      <c r="H378" s="20">
        <f t="shared" si="114"/>
        <v>0</v>
      </c>
      <c r="I378" s="56" t="s">
        <v>4</v>
      </c>
      <c r="J378" s="19">
        <f t="shared" si="115"/>
        <v>0</v>
      </c>
      <c r="K378" s="19">
        <v>45</v>
      </c>
      <c r="L378" s="21">
        <f t="shared" si="116"/>
        <v>0</v>
      </c>
      <c r="M378" s="57">
        <v>0</v>
      </c>
      <c r="N378" s="58">
        <f t="shared" si="117"/>
        <v>0</v>
      </c>
      <c r="O378" s="21">
        <f t="shared" si="118"/>
        <v>0</v>
      </c>
      <c r="P378" s="39"/>
      <c r="Q378" s="39"/>
      <c r="R378" s="39"/>
      <c r="S378" s="39"/>
      <c r="T378" s="39"/>
      <c r="U378" s="39"/>
      <c r="V378" s="39"/>
    </row>
    <row r="379" spans="1:27" ht="18" customHeight="1">
      <c r="A379" s="84"/>
      <c r="B379" s="16"/>
      <c r="C379" s="17" t="s">
        <v>398</v>
      </c>
      <c r="D379" s="24" t="s">
        <v>4</v>
      </c>
      <c r="E379" s="24" t="s">
        <v>4</v>
      </c>
      <c r="F379" s="19">
        <f t="shared" si="113"/>
        <v>0</v>
      </c>
      <c r="G379" s="19">
        <v>30</v>
      </c>
      <c r="H379" s="20">
        <f t="shared" si="114"/>
        <v>0</v>
      </c>
      <c r="I379" s="56" t="s">
        <v>4</v>
      </c>
      <c r="J379" s="19">
        <f t="shared" si="115"/>
        <v>0</v>
      </c>
      <c r="K379" s="19">
        <v>45</v>
      </c>
      <c r="L379" s="21">
        <f t="shared" si="116"/>
        <v>0</v>
      </c>
      <c r="M379" s="57">
        <v>0</v>
      </c>
      <c r="N379" s="58">
        <f t="shared" si="117"/>
        <v>0</v>
      </c>
      <c r="O379" s="21">
        <f t="shared" si="118"/>
        <v>0</v>
      </c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8" customHeight="1">
      <c r="A380" s="84"/>
      <c r="B380" s="16"/>
      <c r="C380" s="17" t="s">
        <v>399</v>
      </c>
      <c r="D380" s="24" t="s">
        <v>4</v>
      </c>
      <c r="E380" s="24" t="s">
        <v>4</v>
      </c>
      <c r="F380" s="19">
        <f t="shared" si="113"/>
        <v>0</v>
      </c>
      <c r="G380" s="19">
        <v>30</v>
      </c>
      <c r="H380" s="20">
        <f t="shared" si="114"/>
        <v>0</v>
      </c>
      <c r="I380" s="56" t="s">
        <v>4</v>
      </c>
      <c r="J380" s="19">
        <f t="shared" si="115"/>
        <v>0</v>
      </c>
      <c r="K380" s="19">
        <v>45</v>
      </c>
      <c r="L380" s="21">
        <f t="shared" si="116"/>
        <v>0</v>
      </c>
      <c r="M380" s="57">
        <v>0</v>
      </c>
      <c r="N380" s="58">
        <f t="shared" si="117"/>
        <v>0</v>
      </c>
      <c r="O380" s="21">
        <f t="shared" si="118"/>
        <v>0</v>
      </c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8" customHeight="1">
      <c r="A381" s="84"/>
      <c r="B381" s="16"/>
      <c r="C381" s="17" t="s">
        <v>400</v>
      </c>
      <c r="D381" s="24" t="s">
        <v>4</v>
      </c>
      <c r="E381" s="24" t="s">
        <v>4</v>
      </c>
      <c r="F381" s="19">
        <f t="shared" si="113"/>
        <v>0</v>
      </c>
      <c r="G381" s="19">
        <v>30</v>
      </c>
      <c r="H381" s="20">
        <f t="shared" si="114"/>
        <v>0</v>
      </c>
      <c r="I381" s="56" t="s">
        <v>4</v>
      </c>
      <c r="J381" s="19">
        <f t="shared" si="115"/>
        <v>0</v>
      </c>
      <c r="K381" s="19">
        <v>45</v>
      </c>
      <c r="L381" s="21">
        <f t="shared" si="116"/>
        <v>0</v>
      </c>
      <c r="M381" s="57">
        <v>0</v>
      </c>
      <c r="N381" s="58">
        <f t="shared" si="117"/>
        <v>0</v>
      </c>
      <c r="O381" s="21">
        <f t="shared" si="118"/>
        <v>0</v>
      </c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8" customHeight="1">
      <c r="A382" s="84"/>
      <c r="B382" s="16"/>
      <c r="C382" s="17" t="s">
        <v>401</v>
      </c>
      <c r="D382" s="24" t="s">
        <v>4</v>
      </c>
      <c r="E382" s="24" t="s">
        <v>4</v>
      </c>
      <c r="F382" s="19">
        <f t="shared" si="113"/>
        <v>0</v>
      </c>
      <c r="G382" s="19">
        <v>30</v>
      </c>
      <c r="H382" s="20">
        <f t="shared" si="114"/>
        <v>0</v>
      </c>
      <c r="I382" s="56" t="s">
        <v>4</v>
      </c>
      <c r="J382" s="19">
        <f t="shared" si="115"/>
        <v>0</v>
      </c>
      <c r="K382" s="19">
        <v>45</v>
      </c>
      <c r="L382" s="21">
        <f t="shared" si="116"/>
        <v>0</v>
      </c>
      <c r="M382" s="57">
        <v>0</v>
      </c>
      <c r="N382" s="58">
        <f t="shared" si="117"/>
        <v>0</v>
      </c>
      <c r="O382" s="21">
        <f t="shared" si="118"/>
        <v>0</v>
      </c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8" customHeight="1">
      <c r="A383" s="84"/>
      <c r="B383" s="16"/>
      <c r="C383" s="17" t="s">
        <v>402</v>
      </c>
      <c r="D383" s="24" t="s">
        <v>4</v>
      </c>
      <c r="E383" s="24" t="s">
        <v>4</v>
      </c>
      <c r="F383" s="19">
        <f t="shared" si="113"/>
        <v>0</v>
      </c>
      <c r="G383" s="19">
        <v>30</v>
      </c>
      <c r="H383" s="20">
        <f t="shared" si="114"/>
        <v>0</v>
      </c>
      <c r="I383" s="56" t="s">
        <v>4</v>
      </c>
      <c r="J383" s="19">
        <f t="shared" si="115"/>
        <v>0</v>
      </c>
      <c r="K383" s="19">
        <v>45</v>
      </c>
      <c r="L383" s="21">
        <f t="shared" si="116"/>
        <v>0</v>
      </c>
      <c r="M383" s="57">
        <v>0</v>
      </c>
      <c r="N383" s="58">
        <f t="shared" si="117"/>
        <v>0</v>
      </c>
      <c r="O383" s="21">
        <f t="shared" si="118"/>
        <v>0</v>
      </c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8" customHeight="1">
      <c r="A384" s="84"/>
      <c r="B384" s="16"/>
      <c r="C384" s="17" t="s">
        <v>403</v>
      </c>
      <c r="D384" s="24" t="s">
        <v>4</v>
      </c>
      <c r="E384" s="24" t="s">
        <v>4</v>
      </c>
      <c r="F384" s="19">
        <f t="shared" si="113"/>
        <v>0</v>
      </c>
      <c r="G384" s="19">
        <v>30</v>
      </c>
      <c r="H384" s="20">
        <f t="shared" si="114"/>
        <v>0</v>
      </c>
      <c r="I384" s="56" t="s">
        <v>4</v>
      </c>
      <c r="J384" s="19">
        <f t="shared" si="115"/>
        <v>0</v>
      </c>
      <c r="K384" s="19">
        <v>45</v>
      </c>
      <c r="L384" s="21">
        <f t="shared" si="116"/>
        <v>0</v>
      </c>
      <c r="M384" s="61">
        <v>0</v>
      </c>
      <c r="N384" s="58">
        <f t="shared" si="117"/>
        <v>0</v>
      </c>
      <c r="O384" s="21">
        <f t="shared" si="118"/>
        <v>0</v>
      </c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8" customHeight="1">
      <c r="A385" s="84"/>
      <c r="B385" s="16"/>
      <c r="C385" s="17" t="s">
        <v>404</v>
      </c>
      <c r="D385" s="24" t="s">
        <v>4</v>
      </c>
      <c r="E385" s="24" t="s">
        <v>4</v>
      </c>
      <c r="F385" s="19">
        <f t="shared" si="113"/>
        <v>0</v>
      </c>
      <c r="G385" s="19">
        <v>30</v>
      </c>
      <c r="H385" s="20">
        <f t="shared" si="114"/>
        <v>0</v>
      </c>
      <c r="I385" s="56" t="s">
        <v>4</v>
      </c>
      <c r="J385" s="19">
        <f t="shared" si="115"/>
        <v>0</v>
      </c>
      <c r="K385" s="19">
        <v>45</v>
      </c>
      <c r="L385" s="21">
        <f t="shared" si="116"/>
        <v>0</v>
      </c>
      <c r="M385" s="61">
        <v>0</v>
      </c>
      <c r="N385" s="58">
        <f t="shared" si="117"/>
        <v>0</v>
      </c>
      <c r="O385" s="21">
        <f t="shared" si="118"/>
        <v>0</v>
      </c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8" customHeight="1">
      <c r="A386" s="84"/>
      <c r="B386" s="16"/>
      <c r="C386" s="17" t="s">
        <v>405</v>
      </c>
      <c r="D386" s="24" t="s">
        <v>4</v>
      </c>
      <c r="E386" s="24" t="s">
        <v>4</v>
      </c>
      <c r="F386" s="19">
        <f t="shared" si="113"/>
        <v>0</v>
      </c>
      <c r="G386" s="19">
        <v>30</v>
      </c>
      <c r="H386" s="20">
        <f t="shared" si="114"/>
        <v>0</v>
      </c>
      <c r="I386" s="56" t="s">
        <v>4</v>
      </c>
      <c r="J386" s="19">
        <f t="shared" si="115"/>
        <v>0</v>
      </c>
      <c r="K386" s="19">
        <v>45</v>
      </c>
      <c r="L386" s="21">
        <f t="shared" si="116"/>
        <v>0</v>
      </c>
      <c r="M386" s="57">
        <v>0</v>
      </c>
      <c r="N386" s="58">
        <f t="shared" si="117"/>
        <v>0</v>
      </c>
      <c r="O386" s="21">
        <f t="shared" si="118"/>
        <v>0</v>
      </c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8" customHeight="1">
      <c r="A387" s="84"/>
      <c r="B387" s="16"/>
      <c r="C387" s="17" t="s">
        <v>406</v>
      </c>
      <c r="D387" s="24" t="s">
        <v>4</v>
      </c>
      <c r="E387" s="24" t="s">
        <v>4</v>
      </c>
      <c r="F387" s="19">
        <f t="shared" si="113"/>
        <v>0</v>
      </c>
      <c r="G387" s="19">
        <v>30</v>
      </c>
      <c r="H387" s="20">
        <f t="shared" si="114"/>
        <v>0</v>
      </c>
      <c r="I387" s="56" t="s">
        <v>4</v>
      </c>
      <c r="J387" s="19">
        <f t="shared" si="115"/>
        <v>0</v>
      </c>
      <c r="K387" s="19">
        <v>45</v>
      </c>
      <c r="L387" s="21">
        <f t="shared" si="116"/>
        <v>0</v>
      </c>
      <c r="M387" s="57">
        <v>0</v>
      </c>
      <c r="N387" s="58">
        <f t="shared" si="117"/>
        <v>0</v>
      </c>
      <c r="O387" s="21">
        <f t="shared" si="118"/>
        <v>0</v>
      </c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8" customHeight="1">
      <c r="A388" s="84"/>
      <c r="B388" s="16"/>
      <c r="C388" s="17" t="s">
        <v>407</v>
      </c>
      <c r="D388" s="24" t="s">
        <v>4</v>
      </c>
      <c r="E388" s="24" t="s">
        <v>4</v>
      </c>
      <c r="F388" s="19">
        <f t="shared" si="113"/>
        <v>0</v>
      </c>
      <c r="G388" s="19">
        <v>30</v>
      </c>
      <c r="H388" s="20">
        <f t="shared" si="114"/>
        <v>0</v>
      </c>
      <c r="I388" s="56" t="s">
        <v>4</v>
      </c>
      <c r="J388" s="19">
        <f t="shared" si="115"/>
        <v>0</v>
      </c>
      <c r="K388" s="19">
        <v>45</v>
      </c>
      <c r="L388" s="21">
        <f t="shared" si="116"/>
        <v>0</v>
      </c>
      <c r="M388" s="57">
        <v>0</v>
      </c>
      <c r="N388" s="58">
        <f t="shared" si="117"/>
        <v>0</v>
      </c>
      <c r="O388" s="21">
        <f t="shared" si="118"/>
        <v>0</v>
      </c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8" customHeight="1">
      <c r="A389" s="84"/>
      <c r="B389" s="16"/>
      <c r="C389" s="17" t="s">
        <v>408</v>
      </c>
      <c r="D389" s="24" t="s">
        <v>4</v>
      </c>
      <c r="E389" s="24" t="s">
        <v>4</v>
      </c>
      <c r="F389" s="19">
        <f t="shared" si="113"/>
        <v>0</v>
      </c>
      <c r="G389" s="19">
        <v>30</v>
      </c>
      <c r="H389" s="20">
        <f t="shared" si="114"/>
        <v>0</v>
      </c>
      <c r="I389" s="56" t="s">
        <v>4</v>
      </c>
      <c r="J389" s="19">
        <f t="shared" si="115"/>
        <v>0</v>
      </c>
      <c r="K389" s="19">
        <v>45</v>
      </c>
      <c r="L389" s="21">
        <f t="shared" si="116"/>
        <v>0</v>
      </c>
      <c r="M389" s="61">
        <v>0</v>
      </c>
      <c r="N389" s="58">
        <f t="shared" si="117"/>
        <v>0</v>
      </c>
      <c r="O389" s="21">
        <f t="shared" si="118"/>
        <v>0</v>
      </c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8" customHeight="1">
      <c r="A390" s="84"/>
      <c r="B390" s="16"/>
      <c r="C390" s="17" t="s">
        <v>409</v>
      </c>
      <c r="D390" s="24" t="s">
        <v>4</v>
      </c>
      <c r="E390" s="24" t="s">
        <v>4</v>
      </c>
      <c r="F390" s="19">
        <f t="shared" si="113"/>
        <v>0</v>
      </c>
      <c r="G390" s="19">
        <v>30</v>
      </c>
      <c r="H390" s="20">
        <f t="shared" si="114"/>
        <v>0</v>
      </c>
      <c r="I390" s="56" t="s">
        <v>4</v>
      </c>
      <c r="J390" s="19">
        <f t="shared" si="115"/>
        <v>0</v>
      </c>
      <c r="K390" s="19">
        <v>45</v>
      </c>
      <c r="L390" s="21">
        <f t="shared" si="116"/>
        <v>0</v>
      </c>
      <c r="M390" s="61">
        <v>0</v>
      </c>
      <c r="N390" s="58">
        <f t="shared" si="117"/>
        <v>0</v>
      </c>
      <c r="O390" s="21">
        <f t="shared" si="118"/>
        <v>0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8" customHeight="1">
      <c r="A391" s="84"/>
      <c r="B391" s="16"/>
      <c r="C391" s="17" t="s">
        <v>410</v>
      </c>
      <c r="D391" s="24" t="s">
        <v>4</v>
      </c>
      <c r="E391" s="24" t="s">
        <v>4</v>
      </c>
      <c r="F391" s="19">
        <f t="shared" si="113"/>
        <v>0</v>
      </c>
      <c r="G391" s="19">
        <v>30</v>
      </c>
      <c r="H391" s="20">
        <f t="shared" si="114"/>
        <v>0</v>
      </c>
      <c r="I391" s="56" t="s">
        <v>4</v>
      </c>
      <c r="J391" s="19">
        <f t="shared" si="115"/>
        <v>0</v>
      </c>
      <c r="K391" s="90">
        <v>45</v>
      </c>
      <c r="L391" s="21">
        <f t="shared" si="116"/>
        <v>0</v>
      </c>
      <c r="M391" s="61">
        <v>0</v>
      </c>
      <c r="N391" s="58">
        <f t="shared" si="117"/>
        <v>0</v>
      </c>
      <c r="O391" s="21">
        <f t="shared" si="118"/>
        <v>0</v>
      </c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8" customHeight="1">
      <c r="A392" s="84"/>
      <c r="B392" s="16"/>
      <c r="C392" s="17" t="s">
        <v>411</v>
      </c>
      <c r="D392" s="24" t="s">
        <v>4</v>
      </c>
      <c r="E392" s="24" t="s">
        <v>4</v>
      </c>
      <c r="F392" s="19">
        <f t="shared" si="113"/>
        <v>0</v>
      </c>
      <c r="G392" s="19">
        <v>30</v>
      </c>
      <c r="H392" s="20">
        <f t="shared" si="114"/>
        <v>0</v>
      </c>
      <c r="I392" s="56" t="s">
        <v>4</v>
      </c>
      <c r="J392" s="19">
        <f t="shared" si="115"/>
        <v>0</v>
      </c>
      <c r="K392" s="19">
        <v>45</v>
      </c>
      <c r="L392" s="21">
        <f t="shared" si="116"/>
        <v>0</v>
      </c>
      <c r="M392" s="61">
        <v>0</v>
      </c>
      <c r="N392" s="58">
        <f t="shared" si="117"/>
        <v>0</v>
      </c>
      <c r="O392" s="21">
        <f t="shared" si="118"/>
        <v>0</v>
      </c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5.75" customHeight="1">
      <c r="B393" s="16"/>
      <c r="C393" s="17" t="s">
        <v>412</v>
      </c>
      <c r="D393" s="24" t="s">
        <v>4</v>
      </c>
      <c r="E393" s="24" t="s">
        <v>4</v>
      </c>
      <c r="F393" s="19">
        <f t="shared" si="113"/>
        <v>0</v>
      </c>
      <c r="G393" s="19">
        <v>30</v>
      </c>
      <c r="H393" s="20">
        <f t="shared" si="114"/>
        <v>0</v>
      </c>
      <c r="I393" s="56" t="s">
        <v>4</v>
      </c>
      <c r="J393" s="19">
        <f t="shared" si="115"/>
        <v>0</v>
      </c>
      <c r="K393" s="19">
        <v>45</v>
      </c>
      <c r="L393" s="21">
        <f t="shared" si="116"/>
        <v>0</v>
      </c>
      <c r="M393" s="61">
        <v>0</v>
      </c>
      <c r="N393" s="58">
        <f t="shared" si="117"/>
        <v>0</v>
      </c>
      <c r="O393" s="21">
        <f t="shared" si="118"/>
        <v>0</v>
      </c>
    </row>
    <row r="394" spans="1:27" ht="15.75" customHeight="1">
      <c r="B394" s="16"/>
      <c r="C394" s="17" t="s">
        <v>413</v>
      </c>
      <c r="D394" s="24" t="s">
        <v>4</v>
      </c>
      <c r="E394" s="24" t="s">
        <v>4</v>
      </c>
      <c r="F394" s="19">
        <f t="shared" si="113"/>
        <v>0</v>
      </c>
      <c r="G394" s="19">
        <v>30</v>
      </c>
      <c r="H394" s="20">
        <f t="shared" si="114"/>
        <v>0</v>
      </c>
      <c r="I394" s="56" t="s">
        <v>4</v>
      </c>
      <c r="J394" s="19">
        <f t="shared" si="115"/>
        <v>0</v>
      </c>
      <c r="K394" s="19">
        <v>45</v>
      </c>
      <c r="L394" s="21">
        <f t="shared" si="116"/>
        <v>0</v>
      </c>
      <c r="M394" s="61">
        <v>0</v>
      </c>
      <c r="N394" s="58">
        <f t="shared" si="117"/>
        <v>0</v>
      </c>
      <c r="O394" s="21">
        <f t="shared" si="118"/>
        <v>0</v>
      </c>
    </row>
    <row r="395" spans="1:27" ht="15.75" customHeight="1">
      <c r="B395" s="16"/>
      <c r="C395" s="17" t="s">
        <v>414</v>
      </c>
      <c r="D395" s="24" t="s">
        <v>4</v>
      </c>
      <c r="E395" s="24" t="s">
        <v>4</v>
      </c>
      <c r="F395" s="19">
        <f t="shared" si="113"/>
        <v>0</v>
      </c>
      <c r="G395" s="19">
        <v>30</v>
      </c>
      <c r="H395" s="20">
        <f t="shared" si="114"/>
        <v>0</v>
      </c>
      <c r="I395" s="56" t="s">
        <v>4</v>
      </c>
      <c r="J395" s="19">
        <f t="shared" si="115"/>
        <v>0</v>
      </c>
      <c r="K395" s="19">
        <v>45</v>
      </c>
      <c r="L395" s="21">
        <f t="shared" si="116"/>
        <v>0</v>
      </c>
      <c r="M395" s="61">
        <v>0</v>
      </c>
      <c r="N395" s="58">
        <f t="shared" si="117"/>
        <v>0</v>
      </c>
      <c r="O395" s="21">
        <f t="shared" si="118"/>
        <v>0</v>
      </c>
    </row>
    <row r="396" spans="1:27" ht="15.75" customHeight="1">
      <c r="B396" s="16"/>
      <c r="C396" s="17" t="s">
        <v>415</v>
      </c>
      <c r="D396" s="24" t="s">
        <v>4</v>
      </c>
      <c r="E396" s="24" t="s">
        <v>4</v>
      </c>
      <c r="F396" s="19">
        <f t="shared" si="113"/>
        <v>0</v>
      </c>
      <c r="G396" s="19">
        <v>30</v>
      </c>
      <c r="H396" s="20">
        <f t="shared" si="114"/>
        <v>0</v>
      </c>
      <c r="I396" s="56" t="s">
        <v>4</v>
      </c>
      <c r="J396" s="19">
        <f t="shared" si="115"/>
        <v>0</v>
      </c>
      <c r="K396" s="19">
        <v>45</v>
      </c>
      <c r="L396" s="21">
        <f t="shared" si="116"/>
        <v>0</v>
      </c>
      <c r="M396" s="61">
        <v>0</v>
      </c>
      <c r="N396" s="58">
        <f t="shared" si="117"/>
        <v>0</v>
      </c>
      <c r="O396" s="21">
        <f t="shared" si="118"/>
        <v>0</v>
      </c>
    </row>
    <row r="397" spans="1:27" ht="15.75" customHeight="1">
      <c r="B397" s="16"/>
      <c r="C397" s="17" t="s">
        <v>416</v>
      </c>
      <c r="D397" s="24" t="s">
        <v>4</v>
      </c>
      <c r="E397" s="24" t="s">
        <v>4</v>
      </c>
      <c r="F397" s="19">
        <f t="shared" si="113"/>
        <v>0</v>
      </c>
      <c r="G397" s="19">
        <v>30</v>
      </c>
      <c r="H397" s="20">
        <f t="shared" si="114"/>
        <v>0</v>
      </c>
      <c r="I397" s="56" t="s">
        <v>4</v>
      </c>
      <c r="J397" s="19">
        <f t="shared" si="115"/>
        <v>0</v>
      </c>
      <c r="K397" s="19">
        <v>45</v>
      </c>
      <c r="L397" s="21">
        <f t="shared" si="116"/>
        <v>0</v>
      </c>
      <c r="M397" s="61">
        <v>0</v>
      </c>
      <c r="N397" s="58">
        <f t="shared" si="117"/>
        <v>0</v>
      </c>
      <c r="O397" s="21">
        <f t="shared" si="118"/>
        <v>0</v>
      </c>
    </row>
    <row r="398" spans="1:27" ht="15.75" customHeight="1">
      <c r="B398" s="16"/>
      <c r="C398" s="17" t="s">
        <v>417</v>
      </c>
      <c r="D398" s="24" t="s">
        <v>4</v>
      </c>
      <c r="E398" s="24" t="s">
        <v>4</v>
      </c>
      <c r="F398" s="19">
        <f t="shared" si="113"/>
        <v>0</v>
      </c>
      <c r="G398" s="19">
        <v>30</v>
      </c>
      <c r="H398" s="20">
        <f t="shared" si="114"/>
        <v>0</v>
      </c>
      <c r="I398" s="56" t="s">
        <v>4</v>
      </c>
      <c r="J398" s="19">
        <f t="shared" si="115"/>
        <v>0</v>
      </c>
      <c r="K398" s="19">
        <v>45</v>
      </c>
      <c r="L398" s="21">
        <f t="shared" si="116"/>
        <v>0</v>
      </c>
      <c r="M398" s="61">
        <v>0</v>
      </c>
      <c r="N398" s="58">
        <f t="shared" si="117"/>
        <v>0</v>
      </c>
      <c r="O398" s="21">
        <f t="shared" si="118"/>
        <v>0</v>
      </c>
    </row>
    <row r="399" spans="1:27" ht="15.75" customHeight="1">
      <c r="B399" s="16"/>
      <c r="C399" s="17" t="s">
        <v>294</v>
      </c>
      <c r="D399" s="24" t="s">
        <v>4</v>
      </c>
      <c r="E399" s="24" t="s">
        <v>4</v>
      </c>
      <c r="F399" s="19">
        <f t="shared" si="113"/>
        <v>0</v>
      </c>
      <c r="G399" s="19">
        <v>30</v>
      </c>
      <c r="H399" s="20">
        <f t="shared" si="114"/>
        <v>0</v>
      </c>
      <c r="I399" s="56" t="s">
        <v>4</v>
      </c>
      <c r="J399" s="19">
        <f t="shared" si="115"/>
        <v>0</v>
      </c>
      <c r="K399" s="19">
        <v>45</v>
      </c>
      <c r="L399" s="21">
        <f t="shared" si="116"/>
        <v>0</v>
      </c>
      <c r="M399" s="61">
        <v>0</v>
      </c>
      <c r="N399" s="58">
        <f t="shared" si="117"/>
        <v>0</v>
      </c>
      <c r="O399" s="21">
        <f t="shared" si="118"/>
        <v>0</v>
      </c>
    </row>
    <row r="400" spans="1:27" ht="15.75" customHeight="1">
      <c r="B400" s="16"/>
      <c r="C400" s="17" t="s">
        <v>418</v>
      </c>
      <c r="D400" s="24" t="s">
        <v>4</v>
      </c>
      <c r="E400" s="24" t="s">
        <v>4</v>
      </c>
      <c r="F400" s="19">
        <f t="shared" si="113"/>
        <v>0</v>
      </c>
      <c r="G400" s="19">
        <v>30</v>
      </c>
      <c r="H400" s="20">
        <f t="shared" si="114"/>
        <v>0</v>
      </c>
      <c r="I400" s="56" t="s">
        <v>4</v>
      </c>
      <c r="J400" s="19">
        <f t="shared" si="115"/>
        <v>0</v>
      </c>
      <c r="K400" s="19">
        <v>45</v>
      </c>
      <c r="L400" s="21">
        <f t="shared" si="116"/>
        <v>0</v>
      </c>
      <c r="M400" s="61">
        <v>0</v>
      </c>
      <c r="N400" s="58">
        <f t="shared" si="117"/>
        <v>0</v>
      </c>
      <c r="O400" s="21">
        <f t="shared" si="118"/>
        <v>0</v>
      </c>
    </row>
    <row r="401" spans="1:27" ht="15.75" customHeight="1">
      <c r="B401" s="16"/>
      <c r="C401" s="17" t="s">
        <v>419</v>
      </c>
      <c r="D401" s="24" t="s">
        <v>4</v>
      </c>
      <c r="E401" s="24" t="s">
        <v>4</v>
      </c>
      <c r="F401" s="19">
        <f t="shared" si="113"/>
        <v>0</v>
      </c>
      <c r="G401" s="19">
        <v>30</v>
      </c>
      <c r="H401" s="20">
        <f t="shared" si="114"/>
        <v>0</v>
      </c>
      <c r="I401" s="56" t="s">
        <v>4</v>
      </c>
      <c r="J401" s="19">
        <f t="shared" si="115"/>
        <v>0</v>
      </c>
      <c r="K401" s="19">
        <v>45</v>
      </c>
      <c r="L401" s="21">
        <f t="shared" si="116"/>
        <v>0</v>
      </c>
      <c r="M401" s="61">
        <v>0</v>
      </c>
      <c r="N401" s="58">
        <f t="shared" si="117"/>
        <v>0</v>
      </c>
      <c r="O401" s="21">
        <f t="shared" si="118"/>
        <v>0</v>
      </c>
    </row>
    <row r="402" spans="1:27" ht="15.75" customHeight="1">
      <c r="B402" s="16"/>
      <c r="C402" s="17" t="s">
        <v>420</v>
      </c>
      <c r="D402" s="24" t="s">
        <v>4</v>
      </c>
      <c r="E402" s="24" t="s">
        <v>4</v>
      </c>
      <c r="F402" s="19">
        <f t="shared" si="113"/>
        <v>0</v>
      </c>
      <c r="G402" s="19">
        <v>30</v>
      </c>
      <c r="H402" s="20">
        <f t="shared" si="114"/>
        <v>0</v>
      </c>
      <c r="I402" s="56" t="s">
        <v>4</v>
      </c>
      <c r="J402" s="19">
        <f t="shared" si="115"/>
        <v>0</v>
      </c>
      <c r="K402" s="19">
        <v>45</v>
      </c>
      <c r="L402" s="21">
        <f t="shared" si="116"/>
        <v>0</v>
      </c>
      <c r="M402" s="61">
        <v>0</v>
      </c>
      <c r="N402" s="58">
        <f t="shared" si="117"/>
        <v>0</v>
      </c>
      <c r="O402" s="21">
        <f t="shared" si="118"/>
        <v>0</v>
      </c>
    </row>
    <row r="403" spans="1:27" ht="15.75" customHeight="1">
      <c r="B403" s="16"/>
      <c r="C403" s="17" t="s">
        <v>421</v>
      </c>
      <c r="D403" s="24" t="s">
        <v>4</v>
      </c>
      <c r="E403" s="24" t="s">
        <v>4</v>
      </c>
      <c r="F403" s="19">
        <f t="shared" si="113"/>
        <v>0</v>
      </c>
      <c r="G403" s="19">
        <v>30</v>
      </c>
      <c r="H403" s="20">
        <f t="shared" si="114"/>
        <v>0</v>
      </c>
      <c r="I403" s="56" t="s">
        <v>4</v>
      </c>
      <c r="J403" s="19">
        <f t="shared" si="115"/>
        <v>0</v>
      </c>
      <c r="K403" s="19">
        <v>45</v>
      </c>
      <c r="L403" s="21">
        <f t="shared" si="116"/>
        <v>0</v>
      </c>
      <c r="M403" s="61">
        <v>0</v>
      </c>
      <c r="N403" s="58">
        <f t="shared" si="117"/>
        <v>0</v>
      </c>
      <c r="O403" s="21">
        <f t="shared" si="118"/>
        <v>0</v>
      </c>
    </row>
    <row r="404" spans="1:27" ht="15.75" customHeight="1">
      <c r="B404" s="16"/>
      <c r="C404" s="17" t="s">
        <v>422</v>
      </c>
      <c r="D404" s="24" t="s">
        <v>4</v>
      </c>
      <c r="E404" s="24" t="s">
        <v>4</v>
      </c>
      <c r="F404" s="19">
        <f t="shared" si="113"/>
        <v>0</v>
      </c>
      <c r="G404" s="19">
        <v>30</v>
      </c>
      <c r="H404" s="20">
        <f t="shared" si="114"/>
        <v>0</v>
      </c>
      <c r="I404" s="56" t="s">
        <v>4</v>
      </c>
      <c r="J404" s="19">
        <f t="shared" si="115"/>
        <v>0</v>
      </c>
      <c r="K404" s="19">
        <v>45</v>
      </c>
      <c r="L404" s="21">
        <f t="shared" si="116"/>
        <v>0</v>
      </c>
      <c r="M404" s="61">
        <v>22</v>
      </c>
      <c r="N404" s="58">
        <f t="shared" si="117"/>
        <v>22</v>
      </c>
      <c r="O404" s="21">
        <f t="shared" si="118"/>
        <v>22</v>
      </c>
    </row>
    <row r="405" spans="1:27" ht="18" customHeight="1">
      <c r="A405" s="84"/>
      <c r="B405" s="16"/>
      <c r="C405" s="17" t="s">
        <v>423</v>
      </c>
      <c r="D405" s="24" t="s">
        <v>4</v>
      </c>
      <c r="E405" s="24" t="s">
        <v>4</v>
      </c>
      <c r="F405" s="19">
        <f t="shared" si="113"/>
        <v>0</v>
      </c>
      <c r="G405" s="19">
        <v>30</v>
      </c>
      <c r="H405" s="20">
        <f t="shared" si="114"/>
        <v>0</v>
      </c>
      <c r="I405" s="56" t="s">
        <v>4</v>
      </c>
      <c r="J405" s="19">
        <f t="shared" si="115"/>
        <v>0</v>
      </c>
      <c r="K405" s="19">
        <v>45</v>
      </c>
      <c r="L405" s="21">
        <f t="shared" si="116"/>
        <v>0</v>
      </c>
      <c r="M405" s="57">
        <v>0</v>
      </c>
      <c r="N405" s="58">
        <f t="shared" si="117"/>
        <v>0</v>
      </c>
      <c r="O405" s="21">
        <f t="shared" si="118"/>
        <v>0</v>
      </c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5.75" customHeight="1">
      <c r="D406"/>
      <c r="E406"/>
    </row>
    <row r="407" spans="1:27" ht="15.75" customHeight="1">
      <c r="D407"/>
      <c r="E407"/>
    </row>
    <row r="408" spans="1:27" ht="15.75" customHeight="1">
      <c r="D408"/>
      <c r="E408"/>
    </row>
    <row r="409" spans="1:27" ht="15.75" customHeight="1">
      <c r="D409"/>
      <c r="E409"/>
    </row>
    <row r="410" spans="1:27" ht="15.75" customHeight="1">
      <c r="D410"/>
      <c r="E410"/>
    </row>
    <row r="411" spans="1:27" ht="15.75" customHeight="1">
      <c r="D411"/>
      <c r="E411"/>
    </row>
    <row r="412" spans="1:27" ht="15.75" customHeight="1">
      <c r="D412"/>
      <c r="E412"/>
    </row>
    <row r="413" spans="1:27" ht="15.75" customHeight="1">
      <c r="D413"/>
      <c r="E413"/>
    </row>
    <row r="414" spans="1:27" ht="15.75" customHeight="1">
      <c r="D414"/>
      <c r="E414"/>
    </row>
    <row r="415" spans="1:27" ht="15.75" customHeight="1">
      <c r="D415"/>
      <c r="E415"/>
    </row>
    <row r="416" spans="1:27" ht="15.75" customHeight="1">
      <c r="D416"/>
      <c r="E416"/>
    </row>
    <row r="417" spans="4:5" ht="15.75" customHeight="1">
      <c r="D417"/>
      <c r="E417"/>
    </row>
    <row r="418" spans="4:5" ht="15.75" customHeight="1">
      <c r="D418"/>
      <c r="E418"/>
    </row>
    <row r="419" spans="4:5" ht="15.75" customHeight="1">
      <c r="D419"/>
      <c r="E419"/>
    </row>
    <row r="420" spans="4:5" ht="15.75" customHeight="1">
      <c r="D420"/>
      <c r="E420"/>
    </row>
    <row r="421" spans="4:5" ht="15.75" customHeight="1">
      <c r="D421"/>
      <c r="E421"/>
    </row>
    <row r="422" spans="4:5" ht="15.75" customHeight="1">
      <c r="D422"/>
      <c r="E422"/>
    </row>
    <row r="423" spans="4:5" ht="15.75" customHeight="1">
      <c r="D423"/>
      <c r="E423"/>
    </row>
    <row r="424" spans="4:5" ht="15.75" customHeight="1">
      <c r="D424"/>
      <c r="E424"/>
    </row>
    <row r="425" spans="4:5" ht="15.75" customHeight="1">
      <c r="D425"/>
      <c r="E425"/>
    </row>
    <row r="426" spans="4:5" ht="15.75" customHeight="1">
      <c r="D426"/>
      <c r="E426"/>
    </row>
    <row r="427" spans="4:5" ht="15.75" customHeight="1">
      <c r="D427"/>
      <c r="E427"/>
    </row>
    <row r="428" spans="4:5" ht="15.75" customHeight="1">
      <c r="D428"/>
      <c r="E428"/>
    </row>
    <row r="429" spans="4:5" ht="15.75" customHeight="1">
      <c r="D429"/>
      <c r="E429"/>
    </row>
    <row r="430" spans="4:5" ht="15.75" customHeight="1">
      <c r="D430"/>
      <c r="E430"/>
    </row>
    <row r="431" spans="4:5" ht="15.75" customHeight="1">
      <c r="D431"/>
      <c r="E431"/>
    </row>
    <row r="432" spans="4:5" ht="15.75" customHeight="1">
      <c r="D432"/>
      <c r="E432"/>
    </row>
    <row r="433" spans="4:5" ht="15.75" customHeight="1">
      <c r="D433"/>
      <c r="E433"/>
    </row>
    <row r="434" spans="4:5" ht="15.75" customHeight="1">
      <c r="D434"/>
      <c r="E434"/>
    </row>
    <row r="435" spans="4:5" ht="15.75" customHeight="1">
      <c r="D435"/>
      <c r="E435"/>
    </row>
    <row r="436" spans="4:5" ht="15.75" customHeight="1">
      <c r="D436"/>
      <c r="E436"/>
    </row>
    <row r="437" spans="4:5" ht="15.75" customHeight="1">
      <c r="D437"/>
      <c r="E437"/>
    </row>
    <row r="438" spans="4:5" ht="15.75" customHeight="1">
      <c r="D438"/>
      <c r="E438"/>
    </row>
    <row r="439" spans="4:5" ht="15.75" customHeight="1">
      <c r="D439"/>
      <c r="E439"/>
    </row>
    <row r="440" spans="4:5" ht="15.75" customHeight="1">
      <c r="D440"/>
      <c r="E440"/>
    </row>
    <row r="441" spans="4:5" ht="15.75" customHeight="1">
      <c r="D441"/>
      <c r="E441"/>
    </row>
    <row r="442" spans="4:5" ht="15.75" customHeight="1">
      <c r="D442"/>
      <c r="E442"/>
    </row>
    <row r="443" spans="4:5" ht="15.75" customHeight="1">
      <c r="D443"/>
      <c r="E443"/>
    </row>
    <row r="444" spans="4:5" ht="15.75" customHeight="1">
      <c r="D444"/>
      <c r="E444"/>
    </row>
    <row r="445" spans="4:5" ht="15.75" customHeight="1">
      <c r="D445"/>
      <c r="E445"/>
    </row>
    <row r="446" spans="4:5" ht="15.75" customHeight="1">
      <c r="D446"/>
      <c r="E446"/>
    </row>
    <row r="447" spans="4:5" ht="15.75" customHeight="1">
      <c r="D447"/>
      <c r="E447"/>
    </row>
    <row r="448" spans="4:5" ht="15.75" customHeight="1">
      <c r="D448"/>
      <c r="E448"/>
    </row>
    <row r="449" spans="4:5" ht="15.75" customHeight="1">
      <c r="D449"/>
      <c r="E449"/>
    </row>
    <row r="450" spans="4:5" ht="15.75" customHeight="1">
      <c r="D450"/>
      <c r="E450"/>
    </row>
    <row r="451" spans="4:5" ht="15.75" customHeight="1">
      <c r="D451"/>
      <c r="E451"/>
    </row>
    <row r="452" spans="4:5" ht="15.75" customHeight="1">
      <c r="D452"/>
      <c r="E452"/>
    </row>
    <row r="453" spans="4:5" ht="15.75" customHeight="1">
      <c r="D453"/>
      <c r="E453"/>
    </row>
    <row r="454" spans="4:5" ht="15.75" customHeight="1">
      <c r="D454"/>
      <c r="E454"/>
    </row>
    <row r="455" spans="4:5" ht="15.75" customHeight="1">
      <c r="D455"/>
      <c r="E455"/>
    </row>
    <row r="456" spans="4:5" ht="15.75" customHeight="1">
      <c r="D456"/>
      <c r="E456"/>
    </row>
    <row r="457" spans="4:5" ht="15.75" customHeight="1">
      <c r="D457"/>
      <c r="E457"/>
    </row>
    <row r="458" spans="4:5" ht="15.75" customHeight="1">
      <c r="D458"/>
      <c r="E458"/>
    </row>
    <row r="459" spans="4:5" ht="15.75" customHeight="1">
      <c r="D459"/>
      <c r="E459"/>
    </row>
    <row r="460" spans="4:5" ht="15.75" customHeight="1">
      <c r="D460"/>
      <c r="E460"/>
    </row>
    <row r="461" spans="4:5" ht="15.75" customHeight="1">
      <c r="D461"/>
      <c r="E461"/>
    </row>
    <row r="462" spans="4:5" ht="15.75" customHeight="1">
      <c r="D462"/>
      <c r="E462"/>
    </row>
    <row r="463" spans="4:5" ht="15.75" customHeight="1">
      <c r="D463"/>
      <c r="E463"/>
    </row>
    <row r="464" spans="4:5" ht="15.75" customHeight="1">
      <c r="D464"/>
      <c r="E464"/>
    </row>
    <row r="465" spans="4:5" ht="15.75" customHeight="1">
      <c r="D465"/>
      <c r="E465"/>
    </row>
    <row r="466" spans="4:5" ht="15.75" customHeight="1">
      <c r="D466"/>
      <c r="E466"/>
    </row>
    <row r="467" spans="4:5" ht="15.75" customHeight="1">
      <c r="D467"/>
      <c r="E467"/>
    </row>
    <row r="468" spans="4:5" ht="15.75" customHeight="1">
      <c r="D468"/>
      <c r="E468"/>
    </row>
    <row r="469" spans="4:5" ht="15.75" customHeight="1">
      <c r="D469"/>
      <c r="E469"/>
    </row>
    <row r="470" spans="4:5" ht="15.75" customHeight="1">
      <c r="D470"/>
      <c r="E470"/>
    </row>
    <row r="471" spans="4:5" ht="15.75" customHeight="1">
      <c r="D471"/>
      <c r="E471"/>
    </row>
    <row r="472" spans="4:5" ht="15.75" customHeight="1">
      <c r="D472"/>
      <c r="E472"/>
    </row>
    <row r="473" spans="4:5" ht="15.75" customHeight="1">
      <c r="D473"/>
      <c r="E473"/>
    </row>
    <row r="474" spans="4:5" ht="15.75" customHeight="1">
      <c r="D474"/>
      <c r="E474"/>
    </row>
    <row r="475" spans="4:5" ht="15.75" customHeight="1">
      <c r="D475"/>
      <c r="E475"/>
    </row>
    <row r="476" spans="4:5" ht="15.75" customHeight="1">
      <c r="D476"/>
      <c r="E476"/>
    </row>
    <row r="477" spans="4:5" ht="15.75" customHeight="1">
      <c r="D477"/>
      <c r="E477"/>
    </row>
    <row r="478" spans="4:5" ht="15.75" customHeight="1">
      <c r="D478"/>
      <c r="E478"/>
    </row>
    <row r="479" spans="4:5" ht="15.75" customHeight="1">
      <c r="D479"/>
      <c r="E479"/>
    </row>
    <row r="480" spans="4:5" ht="15.75" customHeight="1">
      <c r="D480"/>
      <c r="E480"/>
    </row>
    <row r="481" spans="4:5" ht="15.75" customHeight="1">
      <c r="D481"/>
      <c r="E481"/>
    </row>
    <row r="482" spans="4:5" ht="15.75" customHeight="1">
      <c r="D482"/>
      <c r="E482"/>
    </row>
    <row r="483" spans="4:5" ht="15.75" customHeight="1">
      <c r="D483"/>
      <c r="E483"/>
    </row>
    <row r="484" spans="4:5" ht="15.75" customHeight="1">
      <c r="D484"/>
      <c r="E484"/>
    </row>
    <row r="485" spans="4:5" ht="15.75" customHeight="1">
      <c r="D485"/>
      <c r="E485"/>
    </row>
    <row r="486" spans="4:5" ht="15.75" customHeight="1">
      <c r="D486"/>
      <c r="E486"/>
    </row>
    <row r="487" spans="4:5" ht="15.75" customHeight="1">
      <c r="D487"/>
      <c r="E487"/>
    </row>
    <row r="488" spans="4:5" ht="15.75" customHeight="1">
      <c r="D488"/>
      <c r="E488"/>
    </row>
    <row r="489" spans="4:5" ht="15.75" customHeight="1">
      <c r="D489"/>
      <c r="E489"/>
    </row>
    <row r="490" spans="4:5" ht="15.75" customHeight="1">
      <c r="D490"/>
      <c r="E490"/>
    </row>
    <row r="491" spans="4:5" ht="15.75" customHeight="1">
      <c r="D491"/>
      <c r="E491"/>
    </row>
    <row r="492" spans="4:5" ht="15.75" customHeight="1">
      <c r="D492"/>
      <c r="E492"/>
    </row>
    <row r="493" spans="4:5" ht="15.75" customHeight="1">
      <c r="D493"/>
      <c r="E493"/>
    </row>
    <row r="494" spans="4:5" ht="15.75" customHeight="1">
      <c r="D494"/>
      <c r="E494"/>
    </row>
    <row r="495" spans="4:5" ht="15.75" customHeight="1">
      <c r="D495"/>
      <c r="E495"/>
    </row>
    <row r="496" spans="4:5" ht="15.75" customHeight="1">
      <c r="D496"/>
      <c r="E496"/>
    </row>
    <row r="497" spans="4:5" ht="15.75" customHeight="1">
      <c r="D497"/>
      <c r="E497"/>
    </row>
    <row r="498" spans="4:5" ht="15.75" customHeight="1">
      <c r="D498"/>
      <c r="E498"/>
    </row>
    <row r="499" spans="4:5" ht="15.75" customHeight="1">
      <c r="D499"/>
      <c r="E499"/>
    </row>
    <row r="500" spans="4:5" ht="15.75" customHeight="1">
      <c r="D500"/>
      <c r="E500"/>
    </row>
    <row r="501" spans="4:5" ht="15.75" customHeight="1">
      <c r="D501"/>
      <c r="E501"/>
    </row>
    <row r="502" spans="4:5" ht="15.75" customHeight="1">
      <c r="D502"/>
      <c r="E502"/>
    </row>
    <row r="503" spans="4:5" ht="15.75" customHeight="1">
      <c r="D503"/>
      <c r="E503"/>
    </row>
    <row r="504" spans="4:5" ht="15.75" customHeight="1">
      <c r="D504"/>
      <c r="E504"/>
    </row>
    <row r="505" spans="4:5" ht="15.75" customHeight="1">
      <c r="D505"/>
      <c r="E505"/>
    </row>
    <row r="506" spans="4:5" ht="15.75" customHeight="1">
      <c r="D506"/>
      <c r="E506"/>
    </row>
    <row r="507" spans="4:5" ht="15.75" customHeight="1">
      <c r="D507"/>
      <c r="E507"/>
    </row>
    <row r="508" spans="4:5" ht="15.75" customHeight="1">
      <c r="D508"/>
      <c r="E508"/>
    </row>
    <row r="509" spans="4:5" ht="15.75" customHeight="1">
      <c r="D509"/>
      <c r="E509"/>
    </row>
    <row r="510" spans="4:5" ht="15.75" customHeight="1">
      <c r="D510"/>
      <c r="E510"/>
    </row>
    <row r="511" spans="4:5" ht="15.75" customHeight="1">
      <c r="D511"/>
      <c r="E511"/>
    </row>
    <row r="512" spans="4:5" ht="15.75" customHeight="1">
      <c r="D512"/>
      <c r="E512"/>
    </row>
    <row r="513" spans="4:5" ht="15.75" customHeight="1">
      <c r="D513"/>
      <c r="E513"/>
    </row>
    <row r="514" spans="4:5" ht="15.75" customHeight="1">
      <c r="D514"/>
      <c r="E514"/>
    </row>
    <row r="515" spans="4:5" ht="15.75" customHeight="1">
      <c r="D515"/>
      <c r="E515"/>
    </row>
    <row r="516" spans="4:5" ht="15.75" customHeight="1">
      <c r="D516"/>
      <c r="E516"/>
    </row>
    <row r="517" spans="4:5" ht="15.75" customHeight="1">
      <c r="D517"/>
      <c r="E517"/>
    </row>
    <row r="518" spans="4:5" ht="15.75" customHeight="1">
      <c r="D518"/>
      <c r="E518"/>
    </row>
    <row r="519" spans="4:5" ht="15.75" customHeight="1">
      <c r="D519"/>
      <c r="E519"/>
    </row>
    <row r="520" spans="4:5" ht="15.75" customHeight="1">
      <c r="D520"/>
      <c r="E520"/>
    </row>
    <row r="521" spans="4:5" ht="15.75" customHeight="1">
      <c r="D521"/>
      <c r="E521"/>
    </row>
    <row r="522" spans="4:5" ht="15.75" customHeight="1">
      <c r="D522"/>
      <c r="E522"/>
    </row>
    <row r="523" spans="4:5" ht="15.75" customHeight="1">
      <c r="D523"/>
      <c r="E523"/>
    </row>
    <row r="524" spans="4:5" ht="15.75" customHeight="1">
      <c r="D524"/>
      <c r="E524"/>
    </row>
    <row r="525" spans="4:5" ht="15.75" customHeight="1">
      <c r="D525"/>
      <c r="E525"/>
    </row>
    <row r="526" spans="4:5" ht="15.75" customHeight="1">
      <c r="D526"/>
      <c r="E526"/>
    </row>
    <row r="527" spans="4:5" ht="15.75" customHeight="1">
      <c r="D527"/>
      <c r="E527"/>
    </row>
    <row r="528" spans="4:5" ht="15.75" customHeight="1">
      <c r="D528"/>
      <c r="E528"/>
    </row>
    <row r="529" spans="4:5" ht="15.75" customHeight="1">
      <c r="D529"/>
      <c r="E529"/>
    </row>
    <row r="530" spans="4:5" ht="15.75" customHeight="1">
      <c r="D530"/>
      <c r="E530"/>
    </row>
    <row r="531" spans="4:5" ht="15.75" customHeight="1">
      <c r="D531"/>
      <c r="E531"/>
    </row>
    <row r="532" spans="4:5" ht="15.75" customHeight="1">
      <c r="D532"/>
      <c r="E532"/>
    </row>
    <row r="533" spans="4:5" ht="15.75" customHeight="1">
      <c r="D533"/>
      <c r="E533"/>
    </row>
    <row r="534" spans="4:5" ht="15.75" customHeight="1">
      <c r="D534"/>
      <c r="E534"/>
    </row>
    <row r="535" spans="4:5" ht="15.75" customHeight="1">
      <c r="D535"/>
      <c r="E535"/>
    </row>
    <row r="536" spans="4:5" ht="15.75" customHeight="1">
      <c r="D536"/>
      <c r="E536"/>
    </row>
    <row r="537" spans="4:5" ht="15.75" customHeight="1">
      <c r="D537"/>
      <c r="E537"/>
    </row>
    <row r="538" spans="4:5" ht="15.75" customHeight="1">
      <c r="D538"/>
      <c r="E538"/>
    </row>
    <row r="539" spans="4:5" ht="15.75" customHeight="1">
      <c r="D539"/>
      <c r="E539"/>
    </row>
    <row r="540" spans="4:5" ht="15.75" customHeight="1">
      <c r="D540"/>
      <c r="E540"/>
    </row>
    <row r="541" spans="4:5" ht="15.75" customHeight="1">
      <c r="D541"/>
      <c r="E541"/>
    </row>
    <row r="542" spans="4:5" ht="15.75" customHeight="1">
      <c r="D542"/>
      <c r="E542"/>
    </row>
    <row r="543" spans="4:5" ht="15.75" customHeight="1">
      <c r="D543"/>
      <c r="E543"/>
    </row>
    <row r="544" spans="4:5" ht="15.75" customHeight="1">
      <c r="D544"/>
      <c r="E544"/>
    </row>
    <row r="545" spans="4:5" ht="15.75" customHeight="1">
      <c r="D545"/>
      <c r="E545"/>
    </row>
    <row r="546" spans="4:5" ht="15.75" customHeight="1">
      <c r="D546"/>
      <c r="E546"/>
    </row>
    <row r="547" spans="4:5" ht="15.75" customHeight="1">
      <c r="D547"/>
      <c r="E547"/>
    </row>
    <row r="548" spans="4:5" ht="15.75" customHeight="1">
      <c r="D548"/>
      <c r="E548"/>
    </row>
    <row r="549" spans="4:5" ht="15.75" customHeight="1">
      <c r="D549"/>
      <c r="E549"/>
    </row>
    <row r="550" spans="4:5" ht="15.75" customHeight="1">
      <c r="D550"/>
      <c r="E550"/>
    </row>
    <row r="551" spans="4:5" ht="15.75" customHeight="1">
      <c r="D551"/>
      <c r="E551"/>
    </row>
    <row r="552" spans="4:5" ht="15.75" customHeight="1">
      <c r="D552"/>
      <c r="E552"/>
    </row>
    <row r="553" spans="4:5" ht="15.75" customHeight="1">
      <c r="D553"/>
      <c r="E553"/>
    </row>
    <row r="554" spans="4:5" ht="15.75" customHeight="1">
      <c r="D554"/>
      <c r="E554"/>
    </row>
    <row r="555" spans="4:5" ht="15.75" customHeight="1">
      <c r="D555"/>
      <c r="E555"/>
    </row>
    <row r="556" spans="4:5" ht="15.75" customHeight="1">
      <c r="D556"/>
      <c r="E556"/>
    </row>
    <row r="557" spans="4:5" ht="15.75" customHeight="1">
      <c r="D557"/>
      <c r="E557"/>
    </row>
    <row r="558" spans="4:5" ht="15.75" customHeight="1">
      <c r="D558"/>
      <c r="E558"/>
    </row>
    <row r="559" spans="4:5" ht="15.75" customHeight="1">
      <c r="D559"/>
      <c r="E559"/>
    </row>
    <row r="560" spans="4:5" ht="15.75" customHeight="1">
      <c r="D560"/>
      <c r="E560"/>
    </row>
    <row r="561" spans="4:5" ht="15.75" customHeight="1">
      <c r="D561"/>
      <c r="E561"/>
    </row>
    <row r="562" spans="4:5" ht="15.75" customHeight="1">
      <c r="D562"/>
      <c r="E562"/>
    </row>
    <row r="563" spans="4:5" ht="15.75" customHeight="1">
      <c r="D563"/>
      <c r="E563"/>
    </row>
    <row r="564" spans="4:5" ht="15.75" customHeight="1">
      <c r="D564"/>
      <c r="E564"/>
    </row>
    <row r="565" spans="4:5" ht="15.75" customHeight="1">
      <c r="D565"/>
      <c r="E565"/>
    </row>
    <row r="566" spans="4:5" ht="15.75" customHeight="1">
      <c r="D566"/>
      <c r="E566"/>
    </row>
    <row r="567" spans="4:5" ht="15.75" customHeight="1">
      <c r="D567"/>
      <c r="E567"/>
    </row>
    <row r="568" spans="4:5" ht="15.75" customHeight="1">
      <c r="D568"/>
      <c r="E568"/>
    </row>
    <row r="569" spans="4:5" ht="15.75" customHeight="1">
      <c r="D569"/>
      <c r="E569"/>
    </row>
    <row r="570" spans="4:5" ht="15.75" customHeight="1">
      <c r="D570"/>
      <c r="E570"/>
    </row>
    <row r="571" spans="4:5" ht="15.75" customHeight="1">
      <c r="D571"/>
      <c r="E571"/>
    </row>
    <row r="572" spans="4:5" ht="15.75" customHeight="1">
      <c r="D572"/>
      <c r="E572"/>
    </row>
    <row r="573" spans="4:5" ht="15.75" customHeight="1">
      <c r="D573"/>
      <c r="E573"/>
    </row>
    <row r="574" spans="4:5" ht="15.75" customHeight="1">
      <c r="D574"/>
      <c r="E574"/>
    </row>
    <row r="575" spans="4:5" ht="15.75" customHeight="1">
      <c r="D575"/>
      <c r="E575"/>
    </row>
    <row r="576" spans="4:5" ht="15.75" customHeight="1">
      <c r="D576"/>
      <c r="E576"/>
    </row>
    <row r="577" spans="4:5" ht="15.75" customHeight="1">
      <c r="D577"/>
      <c r="E577"/>
    </row>
    <row r="578" spans="4:5" ht="15.75" customHeight="1">
      <c r="D578"/>
      <c r="E578"/>
    </row>
    <row r="579" spans="4:5" ht="15.75" customHeight="1">
      <c r="D579"/>
      <c r="E579"/>
    </row>
    <row r="580" spans="4:5" ht="15.75" customHeight="1">
      <c r="D580"/>
      <c r="E580"/>
    </row>
    <row r="581" spans="4:5" ht="15.75" customHeight="1">
      <c r="D581"/>
      <c r="E581"/>
    </row>
    <row r="582" spans="4:5" ht="15.75" customHeight="1">
      <c r="D582"/>
      <c r="E582"/>
    </row>
    <row r="583" spans="4:5" ht="15.75" customHeight="1">
      <c r="D583"/>
      <c r="E583"/>
    </row>
    <row r="584" spans="4:5" ht="15.75" customHeight="1">
      <c r="D584"/>
      <c r="E584"/>
    </row>
    <row r="585" spans="4:5" ht="15.75" customHeight="1">
      <c r="D585"/>
      <c r="E585"/>
    </row>
    <row r="586" spans="4:5" ht="15.75" customHeight="1">
      <c r="D586"/>
      <c r="E586"/>
    </row>
    <row r="587" spans="4:5" ht="15.75" customHeight="1">
      <c r="D587"/>
      <c r="E587"/>
    </row>
    <row r="588" spans="4:5" ht="15.75" customHeight="1">
      <c r="D588"/>
      <c r="E588"/>
    </row>
    <row r="589" spans="4:5" ht="15.75" customHeight="1">
      <c r="D589"/>
      <c r="E589"/>
    </row>
    <row r="590" spans="4:5" ht="15.75" customHeight="1">
      <c r="D590"/>
      <c r="E590"/>
    </row>
    <row r="591" spans="4:5" ht="15.75" customHeight="1">
      <c r="D591"/>
      <c r="E591"/>
    </row>
    <row r="592" spans="4:5" ht="15.75" customHeight="1">
      <c r="D592"/>
      <c r="E592"/>
    </row>
    <row r="593" spans="4:5" ht="15.75" customHeight="1">
      <c r="D593"/>
      <c r="E593"/>
    </row>
    <row r="594" spans="4:5" ht="15.75" customHeight="1">
      <c r="D594"/>
      <c r="E594"/>
    </row>
    <row r="595" spans="4:5" ht="15.75" customHeight="1">
      <c r="D595"/>
      <c r="E595"/>
    </row>
    <row r="596" spans="4:5" ht="15.75" customHeight="1">
      <c r="D596"/>
      <c r="E596"/>
    </row>
    <row r="597" spans="4:5" ht="15.75" customHeight="1">
      <c r="D597"/>
      <c r="E597"/>
    </row>
    <row r="598" spans="4:5" ht="15.75" customHeight="1">
      <c r="D598"/>
      <c r="E598"/>
    </row>
    <row r="599" spans="4:5" ht="15.75" customHeight="1">
      <c r="D599"/>
      <c r="E599"/>
    </row>
    <row r="600" spans="4:5" ht="15.75" customHeight="1">
      <c r="D600"/>
      <c r="E600"/>
    </row>
    <row r="601" spans="4:5" ht="15.75" customHeight="1">
      <c r="D601"/>
      <c r="E601"/>
    </row>
    <row r="602" spans="4:5" ht="15.75" customHeight="1">
      <c r="D602"/>
      <c r="E602"/>
    </row>
    <row r="603" spans="4:5" ht="15.75" customHeight="1">
      <c r="D603"/>
      <c r="E603"/>
    </row>
    <row r="604" spans="4:5" ht="15.75" customHeight="1">
      <c r="D604"/>
      <c r="E604"/>
    </row>
    <row r="605" spans="4:5" ht="15.75" customHeight="1">
      <c r="D605"/>
      <c r="E605"/>
    </row>
    <row r="606" spans="4:5" ht="15.75" customHeight="1">
      <c r="D606"/>
      <c r="E606"/>
    </row>
    <row r="607" spans="4:5" ht="15.75" customHeight="1">
      <c r="D607"/>
      <c r="E607"/>
    </row>
    <row r="608" spans="4:5" ht="15.75" customHeight="1">
      <c r="D608"/>
      <c r="E608"/>
    </row>
    <row r="609" spans="4:5" ht="15.75" customHeight="1">
      <c r="D609"/>
      <c r="E609"/>
    </row>
    <row r="610" spans="4:5" ht="15.75" customHeight="1">
      <c r="D610"/>
      <c r="E610"/>
    </row>
    <row r="611" spans="4:5" ht="15.75" customHeight="1">
      <c r="D611"/>
      <c r="E611"/>
    </row>
    <row r="612" spans="4:5" ht="15.75" customHeight="1">
      <c r="D612"/>
      <c r="E612"/>
    </row>
    <row r="613" spans="4:5" ht="15.75" customHeight="1">
      <c r="D613"/>
      <c r="E613"/>
    </row>
    <row r="614" spans="4:5" ht="15.75" customHeight="1">
      <c r="D614"/>
      <c r="E614"/>
    </row>
    <row r="615" spans="4:5" ht="15.75" customHeight="1">
      <c r="D615"/>
      <c r="E615"/>
    </row>
    <row r="616" spans="4:5" ht="15.75" customHeight="1">
      <c r="D616"/>
      <c r="E616"/>
    </row>
    <row r="617" spans="4:5" ht="15.75" customHeight="1">
      <c r="D617"/>
      <c r="E617"/>
    </row>
    <row r="618" spans="4:5" ht="15.75" customHeight="1">
      <c r="D618"/>
      <c r="E618"/>
    </row>
    <row r="619" spans="4:5" ht="15.75" customHeight="1">
      <c r="D619"/>
      <c r="E619"/>
    </row>
    <row r="620" spans="4:5" ht="15.75" customHeight="1">
      <c r="D620"/>
      <c r="E620"/>
    </row>
    <row r="621" spans="4:5" ht="15.75" customHeight="1">
      <c r="D621"/>
      <c r="E621"/>
    </row>
    <row r="622" spans="4:5" ht="15.75" customHeight="1">
      <c r="D622"/>
      <c r="E622"/>
    </row>
    <row r="623" spans="4:5" ht="15.75" customHeight="1">
      <c r="D623"/>
      <c r="E623"/>
    </row>
    <row r="624" spans="4:5" ht="15.75" customHeight="1">
      <c r="D624"/>
      <c r="E624"/>
    </row>
    <row r="625" spans="4:5" ht="15.75" customHeight="1">
      <c r="D625"/>
      <c r="E625"/>
    </row>
    <row r="626" spans="4:5" ht="15.75" customHeight="1">
      <c r="D626"/>
      <c r="E626"/>
    </row>
    <row r="627" spans="4:5" ht="15.75" customHeight="1">
      <c r="D627"/>
      <c r="E627"/>
    </row>
    <row r="628" spans="4:5" ht="15.75" customHeight="1">
      <c r="D628"/>
      <c r="E628"/>
    </row>
    <row r="629" spans="4:5" ht="15.75" customHeight="1">
      <c r="D629"/>
      <c r="E629"/>
    </row>
    <row r="630" spans="4:5" ht="15.75" customHeight="1">
      <c r="D630"/>
      <c r="E630"/>
    </row>
    <row r="631" spans="4:5" ht="15.75" customHeight="1">
      <c r="D631"/>
      <c r="E631"/>
    </row>
    <row r="632" spans="4:5" ht="15.75" customHeight="1">
      <c r="D632"/>
      <c r="E632"/>
    </row>
    <row r="633" spans="4:5" ht="15.75" customHeight="1">
      <c r="D633"/>
      <c r="E633"/>
    </row>
    <row r="634" spans="4:5" ht="15.75" customHeight="1">
      <c r="D634"/>
      <c r="E634"/>
    </row>
    <row r="635" spans="4:5" ht="15.75" customHeight="1">
      <c r="D635"/>
      <c r="E635"/>
    </row>
    <row r="636" spans="4:5" ht="15.75" customHeight="1">
      <c r="D636"/>
      <c r="E636"/>
    </row>
    <row r="637" spans="4:5" ht="15.75" customHeight="1">
      <c r="D637"/>
      <c r="E637"/>
    </row>
    <row r="638" spans="4:5" ht="15.75" customHeight="1">
      <c r="D638"/>
      <c r="E638"/>
    </row>
    <row r="639" spans="4:5" ht="15.75" customHeight="1">
      <c r="D639"/>
      <c r="E639"/>
    </row>
    <row r="640" spans="4:5" ht="15.75" customHeight="1">
      <c r="D640"/>
      <c r="E640"/>
    </row>
    <row r="641" spans="4:5" ht="15.75" customHeight="1">
      <c r="D641"/>
      <c r="E641"/>
    </row>
    <row r="642" spans="4:5" ht="15.75" customHeight="1">
      <c r="D642"/>
      <c r="E642"/>
    </row>
    <row r="643" spans="4:5" ht="15.75" customHeight="1">
      <c r="D643"/>
      <c r="E643"/>
    </row>
    <row r="644" spans="4:5" ht="15.75" customHeight="1">
      <c r="D644"/>
      <c r="E644"/>
    </row>
    <row r="645" spans="4:5" ht="15.75" customHeight="1">
      <c r="D645"/>
      <c r="E645"/>
    </row>
    <row r="646" spans="4:5" ht="15.75" customHeight="1">
      <c r="D646"/>
      <c r="E646"/>
    </row>
    <row r="647" spans="4:5" ht="15.75" customHeight="1">
      <c r="D647"/>
      <c r="E647"/>
    </row>
    <row r="648" spans="4:5" ht="15.75" customHeight="1">
      <c r="D648"/>
      <c r="E648"/>
    </row>
    <row r="649" spans="4:5" ht="15.75" customHeight="1">
      <c r="D649"/>
      <c r="E649"/>
    </row>
    <row r="650" spans="4:5" ht="15.75" customHeight="1">
      <c r="D650"/>
      <c r="E650"/>
    </row>
    <row r="651" spans="4:5" ht="15.75" customHeight="1">
      <c r="D651"/>
      <c r="E651"/>
    </row>
    <row r="652" spans="4:5" ht="15.75" customHeight="1">
      <c r="D652"/>
      <c r="E652"/>
    </row>
    <row r="653" spans="4:5" ht="15.75" customHeight="1">
      <c r="D653"/>
      <c r="E653"/>
    </row>
    <row r="654" spans="4:5" ht="15.75" customHeight="1">
      <c r="D654"/>
      <c r="E654"/>
    </row>
    <row r="655" spans="4:5" ht="15.75" customHeight="1">
      <c r="D655"/>
      <c r="E655"/>
    </row>
    <row r="656" spans="4:5" ht="15.75" customHeight="1">
      <c r="D656"/>
      <c r="E656"/>
    </row>
    <row r="657" spans="4:5" ht="15.75" customHeight="1">
      <c r="D657"/>
      <c r="E657"/>
    </row>
    <row r="658" spans="4:5" ht="15.75" customHeight="1">
      <c r="D658"/>
      <c r="E658"/>
    </row>
    <row r="659" spans="4:5" ht="15.75" customHeight="1">
      <c r="D659"/>
      <c r="E659"/>
    </row>
    <row r="660" spans="4:5" ht="15.75" customHeight="1">
      <c r="D660"/>
      <c r="E660"/>
    </row>
    <row r="661" spans="4:5" ht="15.75" customHeight="1">
      <c r="D661"/>
      <c r="E661"/>
    </row>
    <row r="662" spans="4:5" ht="15.75" customHeight="1">
      <c r="D662"/>
      <c r="E662"/>
    </row>
    <row r="663" spans="4:5" ht="15.75" customHeight="1">
      <c r="D663"/>
      <c r="E663"/>
    </row>
    <row r="664" spans="4:5" ht="15.75" customHeight="1">
      <c r="D664"/>
      <c r="E664"/>
    </row>
    <row r="665" spans="4:5" ht="15.75" customHeight="1">
      <c r="D665"/>
      <c r="E665"/>
    </row>
    <row r="666" spans="4:5" ht="15.75" customHeight="1">
      <c r="D666"/>
      <c r="E666"/>
    </row>
    <row r="667" spans="4:5" ht="15.75" customHeight="1">
      <c r="D667"/>
      <c r="E667"/>
    </row>
    <row r="668" spans="4:5" ht="15.75" customHeight="1">
      <c r="D668"/>
      <c r="E668"/>
    </row>
    <row r="669" spans="4:5" ht="15.75" customHeight="1">
      <c r="D669"/>
      <c r="E669"/>
    </row>
    <row r="670" spans="4:5" ht="15.75" customHeight="1">
      <c r="D670"/>
      <c r="E670"/>
    </row>
    <row r="671" spans="4:5" ht="15.75" customHeight="1">
      <c r="D671"/>
      <c r="E671"/>
    </row>
    <row r="672" spans="4:5" ht="15.75" customHeight="1">
      <c r="D672"/>
      <c r="E672"/>
    </row>
    <row r="673" spans="4:5" ht="15.75" customHeight="1">
      <c r="D673"/>
      <c r="E673"/>
    </row>
    <row r="674" spans="4:5" ht="15.75" customHeight="1">
      <c r="D674"/>
      <c r="E674"/>
    </row>
    <row r="675" spans="4:5" ht="15.75" customHeight="1">
      <c r="D675"/>
      <c r="E675"/>
    </row>
    <row r="676" spans="4:5" ht="15.75" customHeight="1">
      <c r="D676"/>
      <c r="E676"/>
    </row>
    <row r="677" spans="4:5" ht="15.75" customHeight="1">
      <c r="D677"/>
      <c r="E677"/>
    </row>
    <row r="678" spans="4:5" ht="15.75" customHeight="1">
      <c r="D678"/>
      <c r="E678"/>
    </row>
    <row r="679" spans="4:5" ht="15.75" customHeight="1">
      <c r="D679"/>
      <c r="E679"/>
    </row>
    <row r="680" spans="4:5" ht="15.75" customHeight="1">
      <c r="D680"/>
      <c r="E680"/>
    </row>
    <row r="681" spans="4:5" ht="15.75" customHeight="1">
      <c r="D681"/>
      <c r="E681"/>
    </row>
    <row r="682" spans="4:5" ht="15.75" customHeight="1">
      <c r="D682"/>
      <c r="E682"/>
    </row>
    <row r="683" spans="4:5" ht="15.75" customHeight="1">
      <c r="D683"/>
      <c r="E683"/>
    </row>
    <row r="684" spans="4:5" ht="15.75" customHeight="1">
      <c r="D684"/>
      <c r="E684"/>
    </row>
    <row r="685" spans="4:5" ht="15.75" customHeight="1">
      <c r="D685"/>
      <c r="E685"/>
    </row>
    <row r="686" spans="4:5" ht="15.75" customHeight="1">
      <c r="D686"/>
      <c r="E686"/>
    </row>
    <row r="687" spans="4:5" ht="15.75" customHeight="1">
      <c r="D687"/>
      <c r="E687"/>
    </row>
    <row r="688" spans="4:5" ht="15.75" customHeight="1">
      <c r="D688"/>
      <c r="E688"/>
    </row>
    <row r="689" spans="4:5" ht="15.75" customHeight="1">
      <c r="D689"/>
      <c r="E689"/>
    </row>
    <row r="690" spans="4:5" ht="15.75" customHeight="1">
      <c r="D690"/>
      <c r="E690"/>
    </row>
    <row r="691" spans="4:5" ht="15.75" customHeight="1">
      <c r="D691"/>
      <c r="E691"/>
    </row>
    <row r="692" spans="4:5" ht="15.75" customHeight="1">
      <c r="D692"/>
      <c r="E692"/>
    </row>
    <row r="693" spans="4:5" ht="15.75" customHeight="1">
      <c r="D693"/>
      <c r="E693"/>
    </row>
    <row r="694" spans="4:5" ht="15.75" customHeight="1">
      <c r="D694"/>
      <c r="E694"/>
    </row>
    <row r="695" spans="4:5" ht="15.75" customHeight="1">
      <c r="D695"/>
      <c r="E695"/>
    </row>
    <row r="696" spans="4:5" ht="15.75" customHeight="1">
      <c r="D696"/>
      <c r="E696"/>
    </row>
    <row r="697" spans="4:5" ht="15.75" customHeight="1">
      <c r="D697"/>
      <c r="E697"/>
    </row>
    <row r="698" spans="4:5" ht="15.75" customHeight="1">
      <c r="D698"/>
      <c r="E698"/>
    </row>
    <row r="699" spans="4:5" ht="15.75" customHeight="1">
      <c r="D699"/>
      <c r="E699"/>
    </row>
    <row r="700" spans="4:5" ht="15.75" customHeight="1">
      <c r="D700"/>
      <c r="E700"/>
    </row>
    <row r="701" spans="4:5" ht="15.75" customHeight="1">
      <c r="D701"/>
      <c r="E701"/>
    </row>
    <row r="702" spans="4:5" ht="15.75" customHeight="1">
      <c r="D702"/>
      <c r="E702"/>
    </row>
    <row r="703" spans="4:5" ht="15.75" customHeight="1">
      <c r="D703"/>
      <c r="E703"/>
    </row>
    <row r="704" spans="4:5" ht="15.75" customHeight="1">
      <c r="D704"/>
      <c r="E704"/>
    </row>
    <row r="705" spans="4:5" ht="15.75" customHeight="1">
      <c r="D705"/>
      <c r="E705"/>
    </row>
    <row r="706" spans="4:5" ht="15.75" customHeight="1">
      <c r="D706"/>
      <c r="E706"/>
    </row>
    <row r="707" spans="4:5" ht="15.75" customHeight="1">
      <c r="D707"/>
      <c r="E707"/>
    </row>
    <row r="708" spans="4:5" ht="15.75" customHeight="1">
      <c r="D708"/>
      <c r="E708"/>
    </row>
    <row r="709" spans="4:5" ht="15" customHeight="1">
      <c r="D709"/>
      <c r="E709"/>
    </row>
    <row r="710" spans="4:5" ht="15" customHeight="1">
      <c r="D710"/>
      <c r="E710"/>
    </row>
    <row r="711" spans="4:5" ht="15" customHeight="1">
      <c r="D711"/>
      <c r="E711"/>
    </row>
    <row r="712" spans="4:5" ht="15" customHeight="1">
      <c r="D712"/>
      <c r="E712"/>
    </row>
    <row r="713" spans="4:5" ht="15" customHeight="1">
      <c r="D713"/>
      <c r="E713"/>
    </row>
    <row r="714" spans="4:5" ht="15" customHeight="1">
      <c r="D714"/>
      <c r="E714"/>
    </row>
    <row r="715" spans="4:5" ht="15" customHeight="1">
      <c r="D715"/>
      <c r="E715"/>
    </row>
    <row r="716" spans="4:5" ht="15" customHeight="1">
      <c r="D716"/>
      <c r="E716"/>
    </row>
    <row r="717" spans="4:5" ht="15" customHeight="1">
      <c r="D717"/>
      <c r="E717"/>
    </row>
    <row r="718" spans="4:5" ht="15" customHeight="1">
      <c r="D718"/>
      <c r="E718"/>
    </row>
    <row r="719" spans="4:5" ht="15" customHeight="1">
      <c r="D719"/>
      <c r="E719"/>
    </row>
    <row r="720" spans="4:5" ht="15" customHeight="1">
      <c r="D720"/>
      <c r="E720"/>
    </row>
    <row r="721" spans="4:5" ht="15" customHeight="1">
      <c r="D721"/>
      <c r="E721"/>
    </row>
    <row r="722" spans="4:5" ht="15" customHeight="1">
      <c r="D722"/>
      <c r="E722"/>
    </row>
    <row r="723" spans="4:5" ht="15" customHeight="1">
      <c r="D723"/>
      <c r="E723"/>
    </row>
    <row r="724" spans="4:5" ht="15" customHeight="1">
      <c r="D724"/>
      <c r="E724"/>
    </row>
    <row r="725" spans="4:5" ht="15" customHeight="1">
      <c r="D725"/>
      <c r="E725"/>
    </row>
    <row r="726" spans="4:5" ht="15" customHeight="1">
      <c r="D726"/>
      <c r="E726"/>
    </row>
    <row r="727" spans="4:5" ht="15" customHeight="1">
      <c r="D727"/>
      <c r="E727"/>
    </row>
    <row r="728" spans="4:5" ht="15" customHeight="1">
      <c r="D728"/>
      <c r="E728"/>
    </row>
    <row r="729" spans="4:5" ht="15" customHeight="1">
      <c r="D729"/>
      <c r="E729"/>
    </row>
    <row r="730" spans="4:5" ht="15" customHeight="1">
      <c r="D730"/>
      <c r="E730"/>
    </row>
    <row r="731" spans="4:5" ht="15" customHeight="1">
      <c r="D731"/>
      <c r="E731"/>
    </row>
    <row r="732" spans="4:5" ht="15" customHeight="1">
      <c r="D732"/>
      <c r="E732"/>
    </row>
    <row r="733" spans="4:5" ht="15" customHeight="1">
      <c r="D733"/>
      <c r="E733"/>
    </row>
    <row r="734" spans="4:5" ht="15" customHeight="1">
      <c r="D734"/>
      <c r="E734"/>
    </row>
    <row r="735" spans="4:5" ht="15" customHeight="1">
      <c r="D735"/>
      <c r="E735"/>
    </row>
    <row r="736" spans="4:5" ht="15" customHeight="1">
      <c r="D736"/>
      <c r="E736"/>
    </row>
    <row r="737" spans="4:5" ht="15" customHeight="1">
      <c r="D737"/>
      <c r="E737"/>
    </row>
    <row r="738" spans="4:5" ht="15" customHeight="1">
      <c r="D738"/>
      <c r="E738"/>
    </row>
    <row r="739" spans="4:5" ht="15" customHeight="1">
      <c r="D739"/>
      <c r="E739"/>
    </row>
    <row r="740" spans="4:5" ht="15" customHeight="1">
      <c r="D740"/>
      <c r="E740"/>
    </row>
    <row r="741" spans="4:5" ht="15" customHeight="1">
      <c r="D741"/>
      <c r="E741"/>
    </row>
    <row r="742" spans="4:5" ht="15" customHeight="1">
      <c r="D742"/>
      <c r="E742"/>
    </row>
    <row r="743" spans="4:5" ht="15" customHeight="1">
      <c r="D743"/>
      <c r="E743"/>
    </row>
    <row r="744" spans="4:5" ht="15" customHeight="1">
      <c r="D744"/>
      <c r="E744"/>
    </row>
    <row r="745" spans="4:5" ht="15" customHeight="1">
      <c r="D745"/>
      <c r="E745"/>
    </row>
    <row r="746" spans="4:5" ht="15" customHeight="1">
      <c r="D746"/>
      <c r="E746"/>
    </row>
    <row r="747" spans="4:5" ht="15" customHeight="1">
      <c r="D747"/>
      <c r="E747"/>
    </row>
    <row r="748" spans="4:5" ht="15" customHeight="1">
      <c r="D748"/>
      <c r="E748"/>
    </row>
    <row r="749" spans="4:5" ht="15" customHeight="1">
      <c r="D749"/>
      <c r="E749"/>
    </row>
    <row r="750" spans="4:5" ht="15" customHeight="1">
      <c r="D750"/>
      <c r="E750"/>
    </row>
    <row r="751" spans="4:5" ht="15" customHeight="1">
      <c r="D751"/>
      <c r="E751"/>
    </row>
    <row r="752" spans="4:5" ht="15" customHeight="1">
      <c r="D752"/>
      <c r="E752"/>
    </row>
    <row r="753" spans="4:5" ht="15" customHeight="1">
      <c r="D753"/>
      <c r="E753"/>
    </row>
    <row r="754" spans="4:5" ht="15" customHeight="1">
      <c r="D754"/>
      <c r="E754"/>
    </row>
    <row r="755" spans="4:5" ht="15" customHeight="1">
      <c r="D755"/>
      <c r="E755"/>
    </row>
    <row r="756" spans="4:5" ht="15" customHeight="1">
      <c r="D756"/>
      <c r="E756"/>
    </row>
    <row r="757" spans="4:5" ht="15" customHeight="1">
      <c r="D757"/>
      <c r="E757"/>
    </row>
    <row r="758" spans="4:5" ht="15" customHeight="1">
      <c r="D758"/>
      <c r="E758"/>
    </row>
    <row r="759" spans="4:5" ht="15" customHeight="1">
      <c r="D759"/>
      <c r="E759"/>
    </row>
    <row r="760" spans="4:5" ht="15" customHeight="1">
      <c r="D760"/>
      <c r="E760"/>
    </row>
    <row r="761" spans="4:5" ht="15" customHeight="1">
      <c r="D761"/>
      <c r="E761"/>
    </row>
    <row r="762" spans="4:5" ht="15" customHeight="1">
      <c r="D762"/>
      <c r="E762"/>
    </row>
    <row r="763" spans="4:5" ht="15" customHeight="1">
      <c r="D763"/>
      <c r="E763"/>
    </row>
    <row r="764" spans="4:5" ht="15" customHeight="1">
      <c r="D764"/>
      <c r="E764"/>
    </row>
    <row r="765" spans="4:5" ht="15" customHeight="1">
      <c r="D765"/>
      <c r="E765"/>
    </row>
    <row r="766" spans="4:5" ht="15" customHeight="1">
      <c r="D766"/>
      <c r="E766"/>
    </row>
    <row r="767" spans="4:5" ht="15" customHeight="1">
      <c r="D767"/>
      <c r="E767"/>
    </row>
    <row r="768" spans="4:5" ht="15" customHeight="1">
      <c r="D768"/>
      <c r="E768"/>
    </row>
    <row r="769" spans="4:5" ht="15" customHeight="1">
      <c r="D769"/>
      <c r="E769"/>
    </row>
    <row r="770" spans="4:5" ht="15" customHeight="1">
      <c r="D770"/>
      <c r="E770"/>
    </row>
    <row r="771" spans="4:5" ht="15" customHeight="1">
      <c r="D771"/>
      <c r="E771"/>
    </row>
    <row r="772" spans="4:5" ht="15" customHeight="1">
      <c r="D772"/>
      <c r="E772"/>
    </row>
    <row r="773" spans="4:5" ht="15" customHeight="1">
      <c r="D773"/>
      <c r="E773"/>
    </row>
    <row r="774" spans="4:5" ht="15" customHeight="1">
      <c r="D774"/>
      <c r="E774"/>
    </row>
    <row r="775" spans="4:5" ht="15" customHeight="1">
      <c r="D775"/>
      <c r="E775"/>
    </row>
    <row r="776" spans="4:5" ht="15" customHeight="1">
      <c r="D776"/>
      <c r="E776"/>
    </row>
    <row r="777" spans="4:5" ht="15" customHeight="1">
      <c r="D777"/>
      <c r="E777"/>
    </row>
    <row r="778" spans="4:5" ht="15" customHeight="1">
      <c r="D778"/>
      <c r="E778"/>
    </row>
    <row r="779" spans="4:5" ht="15" customHeight="1">
      <c r="D779"/>
      <c r="E779"/>
    </row>
    <row r="780" spans="4:5" ht="15" customHeight="1">
      <c r="D780"/>
      <c r="E780"/>
    </row>
    <row r="781" spans="4:5" ht="15" customHeight="1">
      <c r="D781"/>
      <c r="E781"/>
    </row>
    <row r="782" spans="4:5" ht="15" customHeight="1">
      <c r="D782"/>
      <c r="E782"/>
    </row>
    <row r="783" spans="4:5" ht="15" customHeight="1">
      <c r="D783"/>
      <c r="E783"/>
    </row>
    <row r="784" spans="4:5" ht="15" customHeight="1">
      <c r="D784"/>
      <c r="E784"/>
    </row>
    <row r="785" spans="4:5" ht="15" customHeight="1">
      <c r="D785"/>
      <c r="E785"/>
    </row>
    <row r="786" spans="4:5" ht="15" customHeight="1">
      <c r="D786"/>
      <c r="E786"/>
    </row>
    <row r="787" spans="4:5" ht="15" customHeight="1">
      <c r="D787"/>
      <c r="E787"/>
    </row>
    <row r="788" spans="4:5" ht="15" customHeight="1">
      <c r="D788"/>
      <c r="E788"/>
    </row>
    <row r="789" spans="4:5" ht="15" customHeight="1">
      <c r="D789"/>
      <c r="E789"/>
    </row>
    <row r="790" spans="4:5" ht="15" customHeight="1">
      <c r="D790"/>
      <c r="E790"/>
    </row>
    <row r="791" spans="4:5" ht="15" customHeight="1">
      <c r="D791"/>
      <c r="E791"/>
    </row>
    <row r="792" spans="4:5" ht="15" customHeight="1">
      <c r="D792"/>
      <c r="E792"/>
    </row>
    <row r="793" spans="4:5" ht="15" customHeight="1">
      <c r="D793"/>
      <c r="E793"/>
    </row>
    <row r="794" spans="4:5" ht="15" customHeight="1">
      <c r="D794"/>
      <c r="E794"/>
    </row>
    <row r="795" spans="4:5" ht="15" customHeight="1">
      <c r="D795"/>
      <c r="E795"/>
    </row>
    <row r="796" spans="4:5" ht="15" customHeight="1">
      <c r="D796"/>
      <c r="E796"/>
    </row>
    <row r="797" spans="4:5" ht="15" customHeight="1">
      <c r="D797"/>
      <c r="E797"/>
    </row>
    <row r="798" spans="4:5" ht="15" customHeight="1">
      <c r="D798"/>
      <c r="E798"/>
    </row>
    <row r="799" spans="4:5" ht="15" customHeight="1">
      <c r="D799"/>
      <c r="E799"/>
    </row>
    <row r="800" spans="4:5" ht="15" customHeight="1">
      <c r="D800"/>
      <c r="E800"/>
    </row>
    <row r="801" spans="4:5" ht="15" customHeight="1">
      <c r="D801"/>
      <c r="E801"/>
    </row>
    <row r="802" spans="4:5" ht="15" customHeight="1">
      <c r="D802"/>
      <c r="E802"/>
    </row>
    <row r="803" spans="4:5" ht="15" customHeight="1">
      <c r="D803"/>
      <c r="E803"/>
    </row>
    <row r="804" spans="4:5" ht="15" customHeight="1">
      <c r="D804"/>
      <c r="E804"/>
    </row>
    <row r="805" spans="4:5" ht="15" customHeight="1">
      <c r="D805"/>
      <c r="E805"/>
    </row>
    <row r="806" spans="4:5" ht="15" customHeight="1">
      <c r="D806"/>
      <c r="E806"/>
    </row>
    <row r="807" spans="4:5" ht="15" customHeight="1">
      <c r="D807"/>
      <c r="E807"/>
    </row>
    <row r="808" spans="4:5" ht="15" customHeight="1">
      <c r="D808"/>
      <c r="E808"/>
    </row>
    <row r="809" spans="4:5" ht="15" customHeight="1">
      <c r="D809"/>
      <c r="E809"/>
    </row>
    <row r="810" spans="4:5" ht="15" customHeight="1">
      <c r="D810"/>
      <c r="E810"/>
    </row>
    <row r="811" spans="4:5" ht="15" customHeight="1">
      <c r="D811"/>
      <c r="E811"/>
    </row>
    <row r="812" spans="4:5" ht="15" customHeight="1">
      <c r="D812"/>
      <c r="E812"/>
    </row>
    <row r="813" spans="4:5" ht="15" customHeight="1">
      <c r="D813"/>
      <c r="E813"/>
    </row>
    <row r="814" spans="4:5" ht="15" customHeight="1">
      <c r="D814"/>
      <c r="E814"/>
    </row>
    <row r="815" spans="4:5" ht="15" customHeight="1">
      <c r="D815"/>
      <c r="E815"/>
    </row>
    <row r="816" spans="4:5" ht="15" customHeight="1">
      <c r="D816"/>
      <c r="E816"/>
    </row>
    <row r="817" spans="4:5" ht="15" customHeight="1">
      <c r="D817"/>
      <c r="E817"/>
    </row>
    <row r="818" spans="4:5" ht="15" customHeight="1">
      <c r="D818"/>
      <c r="E818"/>
    </row>
    <row r="819" spans="4:5" ht="15" customHeight="1">
      <c r="D819"/>
      <c r="E819"/>
    </row>
    <row r="820" spans="4:5" ht="15" customHeight="1">
      <c r="D820"/>
      <c r="E820"/>
    </row>
    <row r="821" spans="4:5" ht="15" customHeight="1">
      <c r="D821"/>
      <c r="E821"/>
    </row>
    <row r="822" spans="4:5" ht="15" customHeight="1">
      <c r="D822"/>
      <c r="E822"/>
    </row>
    <row r="823" spans="4:5" ht="15" customHeight="1">
      <c r="D823"/>
      <c r="E823"/>
    </row>
    <row r="824" spans="4:5" ht="15" customHeight="1">
      <c r="D824"/>
      <c r="E824"/>
    </row>
    <row r="825" spans="4:5" ht="15" customHeight="1">
      <c r="D825"/>
      <c r="E825"/>
    </row>
    <row r="826" spans="4:5" ht="15" customHeight="1">
      <c r="D826"/>
      <c r="E826"/>
    </row>
    <row r="827" spans="4:5" ht="15" customHeight="1">
      <c r="D827"/>
      <c r="E827"/>
    </row>
    <row r="828" spans="4:5" ht="15" customHeight="1">
      <c r="D828"/>
      <c r="E828"/>
    </row>
    <row r="829" spans="4:5" ht="15" customHeight="1">
      <c r="D829"/>
      <c r="E829"/>
    </row>
    <row r="830" spans="4:5" ht="15" customHeight="1">
      <c r="D830"/>
      <c r="E830"/>
    </row>
    <row r="831" spans="4:5" ht="15" customHeight="1">
      <c r="D831"/>
      <c r="E831"/>
    </row>
    <row r="832" spans="4:5" ht="15" customHeight="1">
      <c r="D832"/>
      <c r="E832"/>
    </row>
    <row r="833" spans="4:5" ht="15" customHeight="1">
      <c r="D833"/>
      <c r="E833"/>
    </row>
    <row r="834" spans="4:5" ht="15" customHeight="1">
      <c r="D834"/>
      <c r="E834"/>
    </row>
    <row r="835" spans="4:5" ht="15" customHeight="1">
      <c r="D835"/>
      <c r="E835"/>
    </row>
    <row r="836" spans="4:5" ht="15" customHeight="1">
      <c r="D836"/>
      <c r="E836"/>
    </row>
    <row r="837" spans="4:5" ht="15" customHeight="1">
      <c r="D837"/>
      <c r="E837"/>
    </row>
    <row r="838" spans="4:5" ht="15" customHeight="1">
      <c r="D838"/>
      <c r="E838"/>
    </row>
    <row r="839" spans="4:5" ht="15" customHeight="1">
      <c r="D839"/>
      <c r="E839"/>
    </row>
    <row r="840" spans="4:5" ht="15" customHeight="1">
      <c r="D840"/>
      <c r="E840"/>
    </row>
    <row r="841" spans="4:5" ht="15" customHeight="1">
      <c r="D841"/>
      <c r="E841"/>
    </row>
    <row r="842" spans="4:5" ht="15" customHeight="1">
      <c r="D842"/>
      <c r="E842"/>
    </row>
    <row r="843" spans="4:5" ht="15" customHeight="1">
      <c r="D843"/>
      <c r="E843"/>
    </row>
    <row r="844" spans="4:5" ht="15" customHeight="1">
      <c r="D844"/>
      <c r="E844"/>
    </row>
    <row r="845" spans="4:5" ht="15" customHeight="1">
      <c r="D845"/>
      <c r="E845"/>
    </row>
    <row r="846" spans="4:5" ht="15" customHeight="1">
      <c r="D846"/>
      <c r="E846"/>
    </row>
    <row r="847" spans="4:5" ht="15" customHeight="1">
      <c r="D847"/>
      <c r="E847"/>
    </row>
    <row r="848" spans="4:5" ht="15" customHeight="1">
      <c r="D848"/>
      <c r="E848"/>
    </row>
    <row r="849" spans="4:5" ht="15" customHeight="1">
      <c r="D849"/>
      <c r="E849"/>
    </row>
    <row r="850" spans="4:5" ht="15" customHeight="1">
      <c r="D850"/>
      <c r="E850"/>
    </row>
    <row r="851" spans="4:5" ht="15" customHeight="1">
      <c r="D851"/>
      <c r="E851"/>
    </row>
    <row r="852" spans="4:5" ht="15" customHeight="1">
      <c r="D852"/>
      <c r="E852"/>
    </row>
    <row r="853" spans="4:5" ht="15" customHeight="1">
      <c r="D853"/>
      <c r="E853"/>
    </row>
    <row r="854" spans="4:5" ht="15" customHeight="1">
      <c r="D854"/>
      <c r="E854"/>
    </row>
    <row r="855" spans="4:5" ht="15" customHeight="1">
      <c r="D855"/>
      <c r="E855"/>
    </row>
    <row r="856" spans="4:5" ht="15" customHeight="1">
      <c r="D856"/>
      <c r="E856"/>
    </row>
    <row r="857" spans="4:5" ht="15" customHeight="1">
      <c r="D857"/>
      <c r="E857"/>
    </row>
    <row r="858" spans="4:5" ht="15" customHeight="1">
      <c r="D858"/>
      <c r="E858"/>
    </row>
    <row r="859" spans="4:5" ht="15" customHeight="1">
      <c r="D859"/>
      <c r="E859"/>
    </row>
    <row r="860" spans="4:5" ht="15" customHeight="1">
      <c r="D860"/>
      <c r="E860"/>
    </row>
    <row r="861" spans="4:5" ht="15" customHeight="1">
      <c r="D861"/>
      <c r="E861"/>
    </row>
    <row r="862" spans="4:5" ht="15" customHeight="1">
      <c r="D862"/>
      <c r="E862"/>
    </row>
    <row r="863" spans="4:5" ht="15" customHeight="1">
      <c r="D863"/>
      <c r="E863"/>
    </row>
    <row r="864" spans="4:5" ht="15" customHeight="1">
      <c r="D864"/>
      <c r="E864"/>
    </row>
    <row r="865" spans="4:5" ht="15" customHeight="1">
      <c r="D865"/>
      <c r="E865"/>
    </row>
    <row r="866" spans="4:5" ht="15" customHeight="1">
      <c r="D866"/>
      <c r="E866"/>
    </row>
    <row r="867" spans="4:5" ht="15" customHeight="1">
      <c r="D867"/>
      <c r="E867"/>
    </row>
    <row r="868" spans="4:5" ht="15" customHeight="1">
      <c r="D868"/>
      <c r="E868"/>
    </row>
    <row r="869" spans="4:5" ht="15" customHeight="1">
      <c r="D869"/>
      <c r="E869"/>
    </row>
    <row r="870" spans="4:5" ht="15" customHeight="1">
      <c r="D870"/>
      <c r="E870"/>
    </row>
    <row r="871" spans="4:5" ht="15" customHeight="1">
      <c r="D871"/>
      <c r="E871"/>
    </row>
    <row r="872" spans="4:5" ht="15" customHeight="1">
      <c r="D872"/>
      <c r="E872"/>
    </row>
    <row r="873" spans="4:5" ht="15" customHeight="1">
      <c r="D873"/>
      <c r="E873"/>
    </row>
    <row r="874" spans="4:5" ht="15" customHeight="1">
      <c r="D874"/>
      <c r="E874"/>
    </row>
    <row r="875" spans="4:5" ht="15" customHeight="1">
      <c r="D875"/>
      <c r="E875"/>
    </row>
    <row r="876" spans="4:5" ht="15" customHeight="1">
      <c r="D876"/>
      <c r="E876"/>
    </row>
    <row r="877" spans="4:5" ht="15" customHeight="1">
      <c r="D877"/>
      <c r="E877"/>
    </row>
    <row r="878" spans="4:5" ht="15" customHeight="1">
      <c r="D878"/>
      <c r="E878"/>
    </row>
    <row r="879" spans="4:5" ht="15" customHeight="1">
      <c r="D879"/>
      <c r="E879"/>
    </row>
    <row r="880" spans="4:5" ht="15" customHeight="1">
      <c r="D880"/>
      <c r="E880"/>
    </row>
    <row r="881" spans="4:5" ht="15" customHeight="1">
      <c r="D881"/>
      <c r="E881"/>
    </row>
    <row r="882" spans="4:5" ht="15" customHeight="1">
      <c r="D882"/>
      <c r="E882"/>
    </row>
    <row r="883" spans="4:5" ht="15" customHeight="1">
      <c r="D883"/>
      <c r="E883"/>
    </row>
    <row r="884" spans="4:5" ht="15" customHeight="1">
      <c r="D884"/>
      <c r="E884"/>
    </row>
    <row r="885" spans="4:5" ht="15" customHeight="1">
      <c r="D885"/>
      <c r="E885"/>
    </row>
    <row r="886" spans="4:5" ht="15" customHeight="1">
      <c r="D886"/>
      <c r="E886"/>
    </row>
    <row r="887" spans="4:5" ht="15" customHeight="1">
      <c r="D887"/>
      <c r="E887"/>
    </row>
    <row r="888" spans="4:5" ht="15" customHeight="1">
      <c r="D888"/>
      <c r="E888"/>
    </row>
    <row r="889" spans="4:5" ht="15" customHeight="1">
      <c r="D889"/>
      <c r="E889"/>
    </row>
    <row r="890" spans="4:5" ht="15" customHeight="1">
      <c r="D890"/>
      <c r="E890"/>
    </row>
    <row r="891" spans="4:5" ht="15" customHeight="1">
      <c r="D891"/>
      <c r="E891"/>
    </row>
    <row r="892" spans="4:5" ht="15" customHeight="1">
      <c r="D892"/>
      <c r="E892"/>
    </row>
    <row r="893" spans="4:5" ht="15" customHeight="1">
      <c r="D893"/>
      <c r="E893"/>
    </row>
    <row r="894" spans="4:5" ht="15" customHeight="1">
      <c r="D894"/>
      <c r="E894"/>
    </row>
    <row r="895" spans="4:5" ht="15" customHeight="1">
      <c r="D895"/>
      <c r="E895"/>
    </row>
    <row r="896" spans="4:5" ht="15" customHeight="1">
      <c r="D896"/>
      <c r="E896"/>
    </row>
    <row r="897" spans="4:5" ht="15" customHeight="1">
      <c r="D897"/>
      <c r="E897"/>
    </row>
    <row r="898" spans="4:5" ht="15" customHeight="1">
      <c r="D898"/>
      <c r="E898"/>
    </row>
    <row r="899" spans="4:5" ht="15" customHeight="1">
      <c r="D899"/>
      <c r="E899"/>
    </row>
    <row r="900" spans="4:5" ht="15" customHeight="1">
      <c r="D900"/>
      <c r="E900"/>
    </row>
    <row r="901" spans="4:5" ht="15" customHeight="1">
      <c r="D901"/>
      <c r="E901"/>
    </row>
  </sheetData>
  <autoFilter ref="A8:AA405"/>
  <mergeCells count="18">
    <mergeCell ref="F2:G6"/>
    <mergeCell ref="D2:E4"/>
    <mergeCell ref="A1:O1"/>
    <mergeCell ref="D5:E5"/>
    <mergeCell ref="D6:E6"/>
    <mergeCell ref="D7:E7"/>
    <mergeCell ref="A2:A6"/>
    <mergeCell ref="A7:A8"/>
    <mergeCell ref="C2:C4"/>
    <mergeCell ref="C7:C8"/>
    <mergeCell ref="F7:F8"/>
    <mergeCell ref="G7:G8"/>
    <mergeCell ref="H7:H8"/>
    <mergeCell ref="J7:J8"/>
    <mergeCell ref="K7:K8"/>
    <mergeCell ref="L7:L8"/>
    <mergeCell ref="M7:M8"/>
    <mergeCell ref="N7:N8"/>
  </mergeCells>
  <conditionalFormatting sqref="C14">
    <cfRule type="duplicateValues" dxfId="29" priority="23"/>
    <cfRule type="duplicateValues" dxfId="28" priority="24"/>
  </conditionalFormatting>
  <conditionalFormatting sqref="C209">
    <cfRule type="duplicateValues" dxfId="27" priority="21"/>
    <cfRule type="duplicateValues" dxfId="26" priority="22"/>
  </conditionalFormatting>
  <conditionalFormatting sqref="C226">
    <cfRule type="duplicateValues" dxfId="25" priority="19"/>
    <cfRule type="duplicateValues" dxfId="24" priority="20"/>
  </conditionalFormatting>
  <conditionalFormatting sqref="C237">
    <cfRule type="duplicateValues" dxfId="23" priority="17"/>
    <cfRule type="duplicateValues" dxfId="22" priority="18"/>
  </conditionalFormatting>
  <conditionalFormatting sqref="C251">
    <cfRule type="duplicateValues" dxfId="21" priority="15"/>
    <cfRule type="duplicateValues" dxfId="20" priority="16"/>
  </conditionalFormatting>
  <conditionalFormatting sqref="C273">
    <cfRule type="duplicateValues" dxfId="19" priority="13"/>
    <cfRule type="duplicateValues" dxfId="18" priority="14"/>
  </conditionalFormatting>
  <conditionalFormatting sqref="C295">
    <cfRule type="duplicateValues" dxfId="17" priority="9"/>
    <cfRule type="duplicateValues" dxfId="16" priority="10"/>
  </conditionalFormatting>
  <conditionalFormatting sqref="C296">
    <cfRule type="duplicateValues" dxfId="15" priority="11"/>
    <cfRule type="duplicateValues" dxfId="14" priority="12"/>
  </conditionalFormatting>
  <conditionalFormatting sqref="C353">
    <cfRule type="duplicateValues" dxfId="13" priority="7"/>
    <cfRule type="duplicateValues" dxfId="12" priority="8"/>
  </conditionalFormatting>
  <conditionalFormatting sqref="C354">
    <cfRule type="duplicateValues" dxfId="11" priority="5"/>
    <cfRule type="duplicateValues" dxfId="10" priority="6"/>
  </conditionalFormatting>
  <conditionalFormatting sqref="C355">
    <cfRule type="duplicateValues" dxfId="9" priority="3"/>
    <cfRule type="duplicateValues" dxfId="8" priority="4"/>
  </conditionalFormatting>
  <conditionalFormatting sqref="C358:C360">
    <cfRule type="duplicateValues" dxfId="7" priority="1"/>
    <cfRule type="duplicateValues" dxfId="6" priority="2"/>
  </conditionalFormatting>
  <conditionalFormatting sqref="C406:C1048576 C357 C351 C335 C196 C167 C150 C136 C1:C8 C15:C16 C19:C21 C26 C97:C98 C83 C58 C102:C127 C377:C380 C161">
    <cfRule type="duplicateValues" dxfId="5" priority="39"/>
    <cfRule type="duplicateValues" dxfId="4" priority="40"/>
  </conditionalFormatting>
  <conditionalFormatting sqref="C361:C376 C22:C25 C9:C13 C17:C18 C27:C57 C59:C82 C84:C96 C99:C101">
    <cfRule type="duplicateValues" dxfId="3" priority="37"/>
    <cfRule type="duplicateValues" dxfId="2" priority="38"/>
  </conditionalFormatting>
  <conditionalFormatting sqref="C381:C405 C197:C208 C137:C149 C128:C135 C151:C160 C162:C166 C168:C195 C210:C225 C227:C236 C238:C250 C252:C272 C274:C294 C297:C334 C336:C350 C352 C356">
    <cfRule type="duplicateValues" dxfId="1" priority="57"/>
    <cfRule type="duplicateValues" dxfId="0" priority="58"/>
  </conditionalFormatting>
  <dataValidations count="1">
    <dataValidation type="list" allowBlank="1" showErrorMessage="1" sqref="I9:I405 D9:E405">
      <formula1>$H$2:$H$6</formula1>
    </dataValidation>
  </dataValidations>
  <printOptions horizontalCentered="1"/>
  <pageMargins left="0.25" right="0.25" top="0.75" bottom="0.75" header="0.3" footer="0.3"/>
  <pageSetup paperSize="9" scale="56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Y3</vt:lpstr>
      <vt:lpstr>'Y3'!Print_Titles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Rowan Nasr</dc:creator>
  <cp:lastModifiedBy>speed</cp:lastModifiedBy>
  <cp:lastPrinted>2024-04-21T10:06:00Z</cp:lastPrinted>
  <dcterms:created xsi:type="dcterms:W3CDTF">2024-11-03T09:19:00Z</dcterms:created>
  <dcterms:modified xsi:type="dcterms:W3CDTF">2026-01-08T16:25:28Z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17F2FA65820C4F049CA4CEFF4588386B_13</vt:lpwstr>
  </property>
  <property fmtid="{D5CDD505-2E9C-101B-9397-08002B2CF9AE}" pid="3" name="KSOProductBuildVer">
    <vt:lpwstr>1033-12.2.0.23196</vt:lpwstr>
  </property>
</Properties>
</file>